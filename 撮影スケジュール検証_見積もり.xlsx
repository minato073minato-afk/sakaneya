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説明" sheetId="1" state="visible" r:id="rId3"/>
    <sheet name="係数" sheetId="2" state="visible" r:id="rId4"/>
    <sheet name="シーン見積" sheetId="3" state="visible" r:id="rId5"/>
    <sheet name="移動" sheetId="4" state="visible" r:id="rId6"/>
    <sheet name="日没" sheetId="5" state="visible" r:id="rId7"/>
    <sheet name="日別" sheetId="6" state="visible" r:id="rId8"/>
    <sheet name="子ども拘束" sheetId="7" state="visible" r:id="rId9"/>
    <sheet name="感度分析" sheetId="8" state="visible" r:id="rId10"/>
    <sheet name="要確認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<sst xmlns="http://schemas.openxmlformats.org/spreadsheetml/2006/main" count="635" uniqueCount="411">
  <si>
    <r>
      <rPr>
        <b val="true"/>
        <sz val="10"/>
        <rFont val="WenQuanYi Zen Hei"/>
        <family val="2"/>
      </rPr>
      <t xml:space="preserve">篠原組『あの日僕は、名前のない違和感を感じた』撮影スケジュール検証モデル（</t>
    </r>
    <r>
      <rPr>
        <b val="true"/>
        <sz val="10"/>
        <rFont val="Arial"/>
        <family val="0"/>
        <charset val="1"/>
      </rPr>
      <t xml:space="preserve">2026-10-18 </t>
    </r>
    <r>
      <rPr>
        <b val="true"/>
        <sz val="10"/>
        <rFont val="WenQuanYi Zen Hei"/>
        <family val="2"/>
      </rPr>
      <t xml:space="preserve">作成）</t>
    </r>
  </si>
  <si>
    <t xml:space="preserve">■ 使い方</t>
  </si>
  <si>
    <r>
      <rPr>
        <sz val="10"/>
        <rFont val="WenQuanYi Zen Hei"/>
        <family val="2"/>
      </rPr>
      <t xml:space="preserve">・青字＝入力値（変えて</t>
    </r>
    <r>
      <rPr>
        <sz val="10"/>
        <rFont val="Arial"/>
        <family val="0"/>
        <charset val="1"/>
      </rPr>
      <t xml:space="preserve">OK</t>
    </r>
    <r>
      <rPr>
        <sz val="10"/>
        <rFont val="WenQuanYi Zen Hei"/>
        <family val="2"/>
      </rPr>
      <t xml:space="preserve">）。黒字＝計算式。黄色セル＝根拠が弱いので、ロケハンや監督確認で上書きしたい値。</t>
    </r>
  </si>
  <si>
    <t xml:space="preserve">・『係数』シートの値を変えると、シーン見積 → 日別 → 感度分析 がすべて再計算されます。</t>
  </si>
  <si>
    <r>
      <rPr>
        <sz val="10"/>
        <rFont val="WenQuanYi Zen Hei"/>
        <family val="2"/>
      </rPr>
      <t xml:space="preserve">・『シーン見積』の『感度倍率』列（初期値</t>
    </r>
    <r>
      <rPr>
        <sz val="10"/>
        <rFont val="Arial"/>
        <family val="0"/>
        <charset val="1"/>
      </rPr>
      <t xml:space="preserve">1.0</t>
    </r>
    <r>
      <rPr>
        <sz val="10"/>
        <rFont val="WenQuanYi Zen Hei"/>
        <family val="2"/>
      </rPr>
      <t xml:space="preserve">）を変えると、そのシーンだけ見積もりを伸び縮みさせられます。</t>
    </r>
  </si>
  <si>
    <r>
      <rPr>
        <b val="true"/>
        <sz val="10"/>
        <rFont val="WenQuanYi Zen Hei"/>
        <family val="2"/>
      </rPr>
      <t xml:space="preserve">■ 見積もりの式（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シーンあたり）</t>
    </r>
  </si>
  <si>
    <t xml:space="preserve">所要時間 ＝ 準備 ＋ 撮影 ＋ 切り替え</t>
  </si>
  <si>
    <t xml:space="preserve">  準備   ＝ 準備種別ごとの値（屋内新規／屋外新規／同一継続）</t>
  </si>
  <si>
    <r>
      <rPr>
        <sz val="10"/>
        <rFont val="WenQuanYi Zen Hei"/>
        <family val="2"/>
      </rPr>
      <t xml:space="preserve">  撮影   ＝ 構図数 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（リハ・段取り ＋ テイク数 </t>
    </r>
    <r>
      <rPr>
        <sz val="10"/>
        <rFont val="Arial"/>
        <family val="0"/>
        <charset val="1"/>
      </rPr>
      <t xml:space="preserve">× 1</t>
    </r>
    <r>
      <rPr>
        <sz val="10"/>
        <rFont val="WenQuanYi Zen Hei"/>
        <family val="2"/>
      </rPr>
      <t xml:space="preserve">テイクの長さ）＋ 長回し構図数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長回し追加係数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テイク数 </t>
    </r>
    <r>
      <rPr>
        <sz val="10"/>
        <rFont val="Arial"/>
        <family val="0"/>
        <charset val="1"/>
      </rPr>
      <t xml:space="preserve">× 1</t>
    </r>
    <r>
      <rPr>
        <sz val="10"/>
        <rFont val="WenQuanYi Zen Hei"/>
        <family val="2"/>
      </rPr>
      <t xml:space="preserve">テイクの長さ</t>
    </r>
  </si>
  <si>
    <r>
      <rPr>
        <sz val="10"/>
        <rFont val="WenQuanYi Zen Hei"/>
        <family val="2"/>
      </rPr>
      <t xml:space="preserve">  テイク数 ＝ 基本テイク数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子役係数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動物係数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エキストラ係数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アクション成功係数</t>
    </r>
  </si>
  <si>
    <r>
      <rPr>
        <sz val="10"/>
        <rFont val="Arial"/>
        <family val="0"/>
        <charset val="1"/>
      </rPr>
      <t xml:space="preserve">  1</t>
    </r>
    <r>
      <rPr>
        <sz val="10"/>
        <rFont val="WenQuanYi Zen Hei"/>
        <family val="2"/>
      </rPr>
      <t xml:space="preserve">テイクの長さ ＝ 平均尺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秒</t>
    </r>
    <r>
      <rPr>
        <sz val="10"/>
        <rFont val="Arial"/>
        <family val="0"/>
        <charset val="1"/>
      </rPr>
      <t xml:space="preserve">)/60 </t>
    </r>
    <r>
      <rPr>
        <sz val="10"/>
        <rFont val="WenQuanYi Zen Hei"/>
        <family val="2"/>
      </rPr>
      <t xml:space="preserve">＋ リセット ＋（大リセットありなら 大リセット追加）</t>
    </r>
  </si>
  <si>
    <r>
      <rPr>
        <sz val="10"/>
        <rFont val="WenQuanYi Zen Hei"/>
        <family val="2"/>
      </rPr>
      <t xml:space="preserve">  切り替え ＝（構図数−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構図切替 ＋ 未確定構図数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現場検証時間</t>
    </r>
  </si>
  <si>
    <t xml:space="preserve">  学校内・ロケ地間の移動は『移動』シーンで別に見積もり、『日別』で足しています。</t>
  </si>
  <si>
    <t xml:space="preserve">■ 判定のルール</t>
  </si>
  <si>
    <t xml:space="preserve">  余裕あり：枠 ≧ 余裕値 ／ 適正：枠 ≧ 標準値 ／ ギリギリ：枠 ≧ 最短値 ／ 不足：枠 ＜ 最短値</t>
  </si>
  <si>
    <t xml:space="preserve">■ 前提</t>
  </si>
  <si>
    <r>
      <rPr>
        <sz val="10"/>
        <rFont val="WenQuanYi Zen Hei"/>
        <family val="2"/>
      </rPr>
      <t xml:space="preserve">・脚本の構図マーカー（</t>
    </r>
    <r>
      <rPr>
        <sz val="10"/>
        <rFont val="Arial"/>
        <family val="0"/>
        <charset val="1"/>
      </rPr>
      <t xml:space="preserve">S○</t>
    </r>
    <r>
      <rPr>
        <sz val="10"/>
        <rFont val="WenQuanYi Zen Hei"/>
        <family val="2"/>
      </rPr>
      <t xml:space="preserve">構図○）を数えて構図数にしています。同じ構図の繰り返しは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つと数えました。</t>
    </r>
  </si>
  <si>
    <t xml:space="preserve">・構図マーカーの色：緑＝確定、ピンク／赤＝現場で検証（未確定）として扱いました（色の意味は要確認）。</t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</si>
  <si>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S19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S22</t>
    </r>
    <r>
      <rPr>
        <sz val="10"/>
        <rFont val="WenQuanYi Zen Hei"/>
        <family val="2"/>
      </rPr>
      <t xml:space="preserve">は構図マーカーがないため、構図数は仮置き（黄色）です。</t>
    </r>
  </si>
  <si>
    <r>
      <rPr>
        <sz val="10"/>
        <rFont val="WenQuanYi Zen Hei"/>
        <family val="2"/>
      </rPr>
      <t xml:space="preserve">・引き継ぎ資料（</t>
    </r>
    <r>
      <rPr>
        <sz val="10"/>
        <rFont val="Arial"/>
        <family val="0"/>
        <charset val="1"/>
      </rPr>
      <t xml:space="preserve">.md</t>
    </r>
    <r>
      <rPr>
        <sz val="10"/>
        <rFont val="WenQuanYi Zen Hei"/>
        <family val="2"/>
      </rPr>
      <t xml:space="preserve">）は今回添付されていなかったため、資料の『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』『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』『※』の数字は確認できていません。『要確認』シートを参照してください。</t>
    </r>
  </si>
  <si>
    <t xml:space="preserve">係数（シナリオ別）</t>
  </si>
  <si>
    <t xml:space="preserve">項目</t>
  </si>
  <si>
    <t xml:space="preserve">最短</t>
  </si>
  <si>
    <t xml:space="preserve">標準</t>
  </si>
  <si>
    <t xml:space="preserve">余裕</t>
  </si>
  <si>
    <t xml:space="preserve">根拠・メモ</t>
  </si>
  <si>
    <r>
      <rPr>
        <sz val="10"/>
        <rFont val="WenQuanYi Zen Hei"/>
        <family val="2"/>
      </rPr>
      <t xml:space="preserve">基本テイク数（回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構図）</t>
    </r>
  </si>
  <si>
    <r>
      <rPr>
        <sz val="10"/>
        <rFont val="WenQuanYi Zen Hei"/>
        <family val="2"/>
      </rPr>
      <t xml:space="preserve">自主制作・子役中心の一般的な目安。最短は「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回で</t>
    </r>
    <r>
      <rPr>
        <sz val="10"/>
        <rFont val="Arial"/>
        <family val="0"/>
        <charset val="1"/>
      </rPr>
      <t xml:space="preserve">OK</t>
    </r>
    <r>
      <rPr>
        <sz val="10"/>
        <rFont val="WenQuanYi Zen Hei"/>
        <family val="2"/>
      </rPr>
      <t xml:space="preserve">」想定</t>
    </r>
  </si>
  <si>
    <r>
      <rPr>
        <sz val="10"/>
        <rFont val="WenQuanYi Zen Hei"/>
        <family val="2"/>
      </rPr>
      <t xml:space="preserve">リハ・段取り（分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構図）</t>
    </r>
  </si>
  <si>
    <t xml:space="preserve">立ち位置確認・カメラリハ</t>
  </si>
  <si>
    <r>
      <rPr>
        <sz val="10"/>
        <rFont val="WenQuanYi Zen Hei"/>
        <family val="2"/>
      </rPr>
      <t xml:space="preserve">リセット（分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テイク）</t>
    </r>
  </si>
  <si>
    <t xml:space="preserve">位置戻し・スレート</t>
  </si>
  <si>
    <r>
      <rPr>
        <sz val="10"/>
        <rFont val="WenQuanYi Zen Hei"/>
        <family val="2"/>
      </rPr>
      <t xml:space="preserve">大リセット追加（分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テイク）</t>
    </r>
  </si>
  <si>
    <t xml:space="preserve">エキストラ全員を教室へ戻す／砂浜の足跡を消す等</t>
  </si>
  <si>
    <r>
      <rPr>
        <sz val="10"/>
        <rFont val="WenQuanYi Zen Hei"/>
        <family val="2"/>
      </rPr>
      <t xml:space="preserve">構図切替（分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回）</t>
    </r>
  </si>
  <si>
    <t xml:space="preserve">カメラ位置・照明の微調整</t>
  </si>
  <si>
    <r>
      <rPr>
        <sz val="10"/>
        <rFont val="WenQuanYi Zen Hei"/>
        <family val="2"/>
      </rPr>
      <t xml:space="preserve">未確定構図の現場検証（分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構図）</t>
    </r>
  </si>
  <si>
    <t xml:space="preserve">ピンク・赤マーカー＝現場で検証</t>
  </si>
  <si>
    <t xml:space="preserve">屋内新規</t>
  </si>
  <si>
    <t xml:space="preserve">準備：屋内・新しい場所（照明設営）</t>
  </si>
  <si>
    <t xml:space="preserve">屋外新規</t>
  </si>
  <si>
    <t xml:space="preserve">準備：屋外・新しい場所</t>
  </si>
  <si>
    <t xml:space="preserve">同一継続</t>
  </si>
  <si>
    <t xml:space="preserve">準備：同じ場所の続き</t>
  </si>
  <si>
    <t xml:space="preserve">長回し追加係数</t>
  </si>
  <si>
    <r>
      <rPr>
        <sz val="10"/>
        <rFont val="WenQuanYi Zen Hei"/>
        <family val="2"/>
      </rPr>
      <t xml:space="preserve">長回し・ワンカット・「最低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秒」の構図はテイク時間を</t>
    </r>
    <r>
      <rPr>
        <sz val="10"/>
        <rFont val="Arial"/>
        <family val="0"/>
        <charset val="1"/>
      </rPr>
      <t xml:space="preserve">×(1+</t>
    </r>
    <r>
      <rPr>
        <sz val="10"/>
        <rFont val="WenQuanYi Zen Hei"/>
        <family val="2"/>
      </rPr>
      <t xml:space="preserve">係数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</si>
  <si>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ピンマイク作業（分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人）</t>
    </r>
  </si>
  <si>
    <t xml:space="preserve">昼食後の再確認・途中入りの装着</t>
  </si>
  <si>
    <t xml:space="preserve">係数（シナリオ共通）</t>
  </si>
  <si>
    <t xml:space="preserve">子役人数（芝居をする子）</t>
  </si>
  <si>
    <t xml:space="preserve">係数</t>
  </si>
  <si>
    <t xml:space="preserve">メモ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</si>
  <si>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人以上は</t>
    </r>
    <r>
      <rPr>
        <sz val="10"/>
        <rFont val="Arial"/>
        <family val="0"/>
        <charset val="1"/>
      </rPr>
      <t xml:space="preserve">1.3</t>
    </r>
  </si>
  <si>
    <t xml:space="preserve">エキストラ人数（下限）</t>
  </si>
  <si>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人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</si>
  <si>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人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</si>
  <si>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人</t>
    </r>
  </si>
  <si>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人以上</t>
    </r>
  </si>
  <si>
    <t xml:space="preserve">その他</t>
  </si>
  <si>
    <t xml:space="preserve">動物係数</t>
  </si>
  <si>
    <r>
      <rPr>
        <sz val="10"/>
        <rFont val="Arial"/>
        <family val="0"/>
        <charset val="1"/>
      </rPr>
      <t xml:space="preserve">S2 </t>
    </r>
    <r>
      <rPr>
        <sz val="10"/>
        <rFont val="WenQuanYi Zen Hei"/>
        <family val="2"/>
      </rPr>
      <t xml:space="preserve">パンチ（犬）</t>
    </r>
  </si>
  <si>
    <t xml:space="preserve">アクション成功係数</t>
  </si>
  <si>
    <r>
      <rPr>
        <sz val="10"/>
        <rFont val="WenQuanYi Zen Hei"/>
        <family val="2"/>
      </rPr>
      <t xml:space="preserve">シュートを決める等、成功するまで撮る動き（</t>
    </r>
    <r>
      <rPr>
        <sz val="10"/>
        <rFont val="Arial"/>
        <family val="0"/>
        <charset val="1"/>
      </rPr>
      <t xml:space="preserve">S15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</si>
  <si>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児童の実働の目安（分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日）</t>
    </r>
  </si>
  <si>
    <r>
      <rPr>
        <sz val="10"/>
        <rFont val="WenQuanYi Zen Hei"/>
        <family val="2"/>
      </rPr>
      <t xml:space="preserve">労働基準法の年少者規定（児童：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時間）を目安として使用。適用の有無は要確認</t>
    </r>
  </si>
  <si>
    <t xml:space="preserve">シーンごとの見積もり（分）</t>
  </si>
  <si>
    <t xml:space="preserve">青字＝入力。黄色＝根拠が弱い値（構図マーカーなし・エキストラ人数未確定）。</t>
  </si>
  <si>
    <t xml:space="preserve">S</t>
  </si>
  <si>
    <t xml:space="preserve">日付</t>
  </si>
  <si>
    <t xml:space="preserve">ブロック</t>
  </si>
  <si>
    <t xml:space="preserve">場所（脚本）</t>
  </si>
  <si>
    <t xml:space="preserve">屋内外</t>
  </si>
  <si>
    <t xml:space="preserve">時間帯（脚本）</t>
  </si>
  <si>
    <r>
      <rPr>
        <b val="true"/>
        <sz val="10"/>
        <rFont val="WenQuanYi Zen Hei"/>
        <family val="2"/>
      </rPr>
      <t xml:space="preserve">現行の枠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</si>
  <si>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t xml:space="preserve">構図数</t>
  </si>
  <si>
    <t xml:space="preserve">セリフ行数</t>
  </si>
  <si>
    <r>
      <rPr>
        <b val="true"/>
        <sz val="10"/>
        <rFont val="WenQuanYi Zen Hei"/>
        <family val="2"/>
      </rPr>
      <t xml:space="preserve">子役人数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芝居</t>
    </r>
    <r>
      <rPr>
        <b val="true"/>
        <sz val="10"/>
        <rFont val="Arial"/>
        <family val="0"/>
        <charset val="1"/>
      </rPr>
      <t xml:space="preserve">)</t>
    </r>
  </si>
  <si>
    <t xml:space="preserve">大人キャスト</t>
  </si>
  <si>
    <t xml:space="preserve">動物</t>
  </si>
  <si>
    <t xml:space="preserve">エキストラ人数</t>
  </si>
  <si>
    <t xml:space="preserve">長回し構図数</t>
  </si>
  <si>
    <t xml:space="preserve">未確定構図数</t>
  </si>
  <si>
    <t xml:space="preserve">アクション成功</t>
  </si>
  <si>
    <t xml:space="preserve">大リセット</t>
  </si>
  <si>
    <t xml:space="preserve">準備種別</t>
  </si>
  <si>
    <r>
      <rPr>
        <b val="true"/>
        <sz val="10"/>
        <rFont val="WenQuanYi Zen Hei"/>
        <family val="2"/>
      </rPr>
      <t xml:space="preserve">平均尺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)</t>
    </r>
  </si>
  <si>
    <t xml:space="preserve">小道具</t>
  </si>
  <si>
    <t xml:space="preserve">動き・指定（脚本より）</t>
  </si>
  <si>
    <t xml:space="preserve">テイク係数</t>
  </si>
  <si>
    <r>
      <rPr>
        <b val="true"/>
        <sz val="10"/>
        <rFont val="WenQuanYi Zen Hei"/>
        <family val="2"/>
      </rPr>
      <t xml:space="preserve">最短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準備</t>
    </r>
  </si>
  <si>
    <r>
      <rPr>
        <b val="true"/>
        <sz val="10"/>
        <rFont val="WenQuanYi Zen Hei"/>
        <family val="2"/>
      </rPr>
      <t xml:space="preserve">最短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撮影</t>
    </r>
  </si>
  <si>
    <r>
      <rPr>
        <b val="true"/>
        <sz val="10"/>
        <rFont val="WenQuanYi Zen Hei"/>
        <family val="2"/>
      </rPr>
      <t xml:space="preserve">最短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切替</t>
    </r>
  </si>
  <si>
    <r>
      <rPr>
        <b val="true"/>
        <sz val="10"/>
        <rFont val="WenQuanYi Zen Hei"/>
        <family val="2"/>
      </rPr>
      <t xml:space="preserve">最短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合計</t>
    </r>
  </si>
  <si>
    <r>
      <rPr>
        <b val="true"/>
        <sz val="10"/>
        <rFont val="WenQuanYi Zen Hei"/>
        <family val="2"/>
      </rPr>
      <t xml:space="preserve">標準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準備</t>
    </r>
  </si>
  <si>
    <r>
      <rPr>
        <b val="true"/>
        <sz val="10"/>
        <rFont val="WenQuanYi Zen Hei"/>
        <family val="2"/>
      </rPr>
      <t xml:space="preserve">標準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撮影</t>
    </r>
  </si>
  <si>
    <r>
      <rPr>
        <b val="true"/>
        <sz val="10"/>
        <rFont val="WenQuanYi Zen Hei"/>
        <family val="2"/>
      </rPr>
      <t xml:space="preserve">標準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切替</t>
    </r>
  </si>
  <si>
    <r>
      <rPr>
        <b val="true"/>
        <sz val="10"/>
        <rFont val="WenQuanYi Zen Hei"/>
        <family val="2"/>
      </rPr>
      <t xml:space="preserve">標準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合計</t>
    </r>
  </si>
  <si>
    <r>
      <rPr>
        <b val="true"/>
        <sz val="10"/>
        <rFont val="WenQuanYi Zen Hei"/>
        <family val="2"/>
      </rPr>
      <t xml:space="preserve">余裕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準備</t>
    </r>
  </si>
  <si>
    <r>
      <rPr>
        <b val="true"/>
        <sz val="10"/>
        <rFont val="WenQuanYi Zen Hei"/>
        <family val="2"/>
      </rPr>
      <t xml:space="preserve">余裕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撮影</t>
    </r>
  </si>
  <si>
    <r>
      <rPr>
        <b val="true"/>
        <sz val="10"/>
        <rFont val="WenQuanYi Zen Hei"/>
        <family val="2"/>
      </rPr>
      <t xml:space="preserve">余裕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切替</t>
    </r>
  </si>
  <si>
    <r>
      <rPr>
        <b val="true"/>
        <sz val="10"/>
        <rFont val="WenQuanYi Zen Hei"/>
        <family val="2"/>
      </rPr>
      <t xml:space="preserve">余裕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合計</t>
    </r>
  </si>
  <si>
    <t xml:space="preserve">感度倍率</t>
  </si>
  <si>
    <t xml:space="preserve">判定</t>
  </si>
  <si>
    <t xml:space="preserve">枠−標準</t>
  </si>
  <si>
    <t xml:space="preserve">現行の開始</t>
  </si>
  <si>
    <t xml:space="preserve">現行の終了</t>
  </si>
  <si>
    <t xml:space="preserve">3</t>
  </si>
  <si>
    <t xml:space="preserve">D1</t>
  </si>
  <si>
    <t xml:space="preserve">小学校・校門</t>
  </si>
  <si>
    <t xml:space="preserve">屋外</t>
  </si>
  <si>
    <t xml:space="preserve">朝</t>
  </si>
  <si>
    <t xml:space="preserve">ランドセル・脚立</t>
  </si>
  <si>
    <r>
      <rPr>
        <sz val="10"/>
        <rFont val="WenQuanYi Zen Hei"/>
        <family val="2"/>
      </rPr>
      <t xml:space="preserve">脚立で高い位置から／広角で追う（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）／後ろ姿を追う（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）</t>
    </r>
  </si>
  <si>
    <t xml:space="preserve">4</t>
  </si>
  <si>
    <t xml:space="preserve">同・階段</t>
  </si>
  <si>
    <t xml:space="preserve">屋内</t>
  </si>
  <si>
    <t xml:space="preserve">ランドセル</t>
  </si>
  <si>
    <t xml:space="preserve">ワンカット：手を振り合って別れるまで、カメラが階段を一緒に登る</t>
  </si>
  <si>
    <t xml:space="preserve">16A</t>
  </si>
  <si>
    <t xml:space="preserve">同・校庭（エキストラ別撮り）</t>
  </si>
  <si>
    <t xml:space="preserve">昼過ぎ</t>
  </si>
  <si>
    <t xml:space="preserve">サッカーボール・ペットボトル</t>
  </si>
  <si>
    <t xml:space="preserve">エキストラのみ。サッカー／ペットボトルを狙うゲーム</t>
  </si>
  <si>
    <t xml:space="preserve">13</t>
  </si>
  <si>
    <t xml:space="preserve">同・校庭</t>
  </si>
  <si>
    <t xml:space="preserve">（指定なし）</t>
  </si>
  <si>
    <r>
      <rPr>
        <sz val="10"/>
        <rFont val="WenQuanYi Zen Hei"/>
        <family val="2"/>
      </rPr>
      <t xml:space="preserve">男子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人は当日エキストラから選ぶ／足元からソウタの顔まで上がる（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）</t>
    </r>
  </si>
  <si>
    <t xml:space="preserve">5</t>
  </si>
  <si>
    <t xml:space="preserve">D2a</t>
  </si>
  <si>
    <t xml:space="preserve">同・教室（朝の会）</t>
  </si>
  <si>
    <t xml:space="preserve">出席簿・チョーク・椅子</t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</si>
  <si>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名ほど。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：席まで歩く／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：座るまで同構図／</t>
    </r>
    <r>
      <rPr>
        <sz val="10"/>
        <rFont val="Arial"/>
        <family val="0"/>
        <charset val="1"/>
      </rPr>
      <t xml:space="preserve">J</t>
    </r>
    <r>
      <rPr>
        <sz val="10"/>
        <rFont val="WenQuanYi Zen Hei"/>
        <family val="2"/>
      </rPr>
      <t xml:space="preserve">：机の下からカメラが上がる。「間」が超重要</t>
    </r>
  </si>
  <si>
    <t xml:space="preserve">6</t>
  </si>
  <si>
    <t xml:space="preserve">同・教室（国語）</t>
  </si>
  <si>
    <t xml:space="preserve">（授業中）</t>
  </si>
  <si>
    <t xml:space="preserve">教科書・消しゴム・時計</t>
  </si>
  <si>
    <t xml:space="preserve">時計の時間変更。生徒それぞれの芝居（誰が何をするかは未定）</t>
  </si>
  <si>
    <t xml:space="preserve">8</t>
  </si>
  <si>
    <t xml:space="preserve">同・教室（ソワソワ）</t>
  </si>
  <si>
    <t xml:space="preserve">10:18</t>
  </si>
  <si>
    <r>
      <rPr>
        <sz val="10"/>
        <rFont val="WenQuanYi Zen Hei"/>
        <family val="2"/>
      </rPr>
      <t xml:space="preserve">時計</t>
    </r>
    <r>
      <rPr>
        <sz val="10"/>
        <rFont val="Arial"/>
        <family val="0"/>
        <charset val="1"/>
      </rPr>
      <t xml:space="preserve">(10:18)</t>
    </r>
    <r>
      <rPr>
        <sz val="10"/>
        <rFont val="WenQuanYi Zen Hei"/>
        <family val="2"/>
      </rPr>
      <t xml:space="preserve">・ボール・ボールネット</t>
    </r>
  </si>
  <si>
    <t xml:space="preserve">時計の寄り／ボールを追う</t>
  </si>
  <si>
    <t xml:space="preserve">9</t>
  </si>
  <si>
    <t xml:space="preserve">同・廊下</t>
  </si>
  <si>
    <t xml:space="preserve">10:20</t>
  </si>
  <si>
    <t xml:space="preserve">段ボール・ボール</t>
  </si>
  <si>
    <t xml:space="preserve">全員が教室を飛び出す（望遠）。本番前に熱を作る。テイクごとに全員を戻す</t>
  </si>
  <si>
    <t xml:space="preserve">10</t>
  </si>
  <si>
    <t xml:space="preserve">同・教室（はい）</t>
  </si>
  <si>
    <t xml:space="preserve">中休み</t>
  </si>
  <si>
    <t xml:space="preserve">ノート・ペン・散らかった教科書</t>
  </si>
  <si>
    <r>
      <rPr>
        <sz val="10"/>
        <rFont val="WenQuanYi Zen Hei"/>
        <family val="2"/>
      </rPr>
      <t xml:space="preserve">女子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人。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：野口が歩いてきてカメラも寄る</t>
    </r>
  </si>
  <si>
    <t xml:space="preserve">18</t>
  </si>
  <si>
    <t xml:space="preserve">D2b</t>
  </si>
  <si>
    <t xml:space="preserve">同・教室（帰りの会）</t>
  </si>
  <si>
    <t xml:space="preserve">放課後</t>
  </si>
  <si>
    <t xml:space="preserve">プリント・クリアファイル・ランドセル・黒板消し</t>
  </si>
  <si>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：黒板消しの寄りから引いてパン／</t>
    </r>
    <r>
      <rPr>
        <sz val="10"/>
        <rFont val="Arial"/>
        <family val="0"/>
        <charset val="1"/>
      </rPr>
      <t xml:space="preserve">E</t>
    </r>
    <r>
      <rPr>
        <sz val="10"/>
        <rFont val="WenQuanYi Zen Hei"/>
        <family val="2"/>
      </rPr>
      <t xml:space="preserve">：左に動く</t>
    </r>
  </si>
  <si>
    <t xml:space="preserve">15</t>
  </si>
  <si>
    <t xml:space="preserve">D3a</t>
  </si>
  <si>
    <t xml:space="preserve">同・体育館</t>
  </si>
  <si>
    <t xml:space="preserve">（休み時間）</t>
  </si>
  <si>
    <r>
      <rPr>
        <sz val="10"/>
        <rFont val="WenQuanYi Zen Hei"/>
        <family val="2"/>
      </rPr>
      <t xml:space="preserve">本（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冊・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冊）・バスケットボール</t>
    </r>
  </si>
  <si>
    <r>
      <rPr>
        <sz val="10"/>
        <rFont val="WenQuanYi Zen Hei"/>
        <family val="2"/>
      </rPr>
      <t xml:space="preserve">構図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L</t>
    </r>
    <r>
      <rPr>
        <sz val="10"/>
        <rFont val="WenQuanYi Zen Hei"/>
        <family val="2"/>
      </rPr>
      <t xml:space="preserve">すべて未確定。シュート（</t>
    </r>
    <r>
      <rPr>
        <sz val="10"/>
        <rFont val="Arial"/>
        <family val="0"/>
        <charset val="1"/>
      </rPr>
      <t xml:space="preserve">F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G</t>
    </r>
    <r>
      <rPr>
        <sz val="10"/>
        <rFont val="WenQuanYi Zen Hei"/>
        <family val="2"/>
      </rPr>
      <t xml:space="preserve">）、天井通路から広角（</t>
    </r>
    <r>
      <rPr>
        <sz val="10"/>
        <rFont val="Arial"/>
        <family val="0"/>
        <charset val="1"/>
      </rPr>
      <t xml:space="preserve">G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J</t>
    </r>
    <r>
      <rPr>
        <sz val="10"/>
        <rFont val="WenQuanYi Zen Hei"/>
        <family val="2"/>
      </rPr>
      <t xml:space="preserve">：同構図で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秒</t>
    </r>
  </si>
  <si>
    <t xml:space="preserve">12</t>
  </si>
  <si>
    <t xml:space="preserve">同・一階廊下（図書室前）</t>
  </si>
  <si>
    <t xml:space="preserve">本・図書室の看板</t>
  </si>
  <si>
    <t xml:space="preserve">看板から下がり、正面に回り込む長回し。男の子の声は別録り</t>
  </si>
  <si>
    <t xml:space="preserve">14</t>
  </si>
  <si>
    <t xml:space="preserve">本</t>
  </si>
  <si>
    <r>
      <rPr>
        <sz val="10"/>
        <rFont val="Arial"/>
        <family val="0"/>
        <charset val="1"/>
      </rPr>
      <t xml:space="preserve">18mm</t>
    </r>
    <r>
      <rPr>
        <sz val="10"/>
        <rFont val="WenQuanYi Zen Hei"/>
        <family val="2"/>
      </rPr>
      <t xml:space="preserve">で顔、歪ませる</t>
    </r>
  </si>
  <si>
    <t xml:space="preserve">16</t>
  </si>
  <si>
    <t xml:space="preserve">同・校庭（リョウ・ソウタ）</t>
  </si>
  <si>
    <t xml:space="preserve">石</t>
  </si>
  <si>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100mm</t>
    </r>
    <r>
      <rPr>
        <sz val="10"/>
        <rFont val="WenQuanYi Zen Hei"/>
        <family val="2"/>
      </rPr>
      <t xml:space="preserve">望遠／</t>
    </r>
    <r>
      <rPr>
        <sz val="10"/>
        <rFont val="Arial"/>
        <family val="0"/>
        <charset val="1"/>
      </rPr>
      <t xml:space="preserve">E</t>
    </r>
    <r>
      <rPr>
        <sz val="10"/>
        <rFont val="WenQuanYi Zen Hei"/>
        <family val="2"/>
      </rPr>
      <t xml:space="preserve">：ワンカットで全部言う。背景に「遊んでいる生徒」が必要</t>
    </r>
  </si>
  <si>
    <t xml:space="preserve">11</t>
  </si>
  <si>
    <t xml:space="preserve">同・廊下・階段</t>
  </si>
  <si>
    <t xml:space="preserve">放課後直後</t>
  </si>
  <si>
    <t xml:space="preserve">ポスター・本・筆箱</t>
  </si>
  <si>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：教室から階段までワンカットで後ろに下がる／</t>
    </r>
    <r>
      <rPr>
        <sz val="10"/>
        <rFont val="Arial"/>
        <family val="0"/>
        <charset val="1"/>
      </rPr>
      <t xml:space="preserve">D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50mm</t>
    </r>
    <r>
      <rPr>
        <sz val="10"/>
        <rFont val="WenQuanYi Zen Hei"/>
        <family val="2"/>
      </rPr>
      <t xml:space="preserve">で目だけ最低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秒、ワンカットで振り向く</t>
    </r>
  </si>
  <si>
    <t xml:space="preserve">19</t>
  </si>
  <si>
    <t xml:space="preserve">D3b</t>
  </si>
  <si>
    <t xml:space="preserve">同・下駄箱</t>
  </si>
  <si>
    <t xml:space="preserve">夕方</t>
  </si>
  <si>
    <t xml:space="preserve">靴</t>
  </si>
  <si>
    <r>
      <rPr>
        <sz val="10"/>
        <rFont val="WenQuanYi Zen Hei"/>
        <family val="2"/>
      </rPr>
      <t xml:space="preserve">構図マーカーなし（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つと仮置き）</t>
    </r>
  </si>
  <si>
    <t xml:space="preserve">17</t>
  </si>
  <si>
    <t xml:space="preserve">同・外（空）</t>
  </si>
  <si>
    <t xml:space="preserve">夕方（夕焼け）</t>
  </si>
  <si>
    <t xml:space="preserve">廊下から校庭側の空</t>
  </si>
  <si>
    <t xml:space="preserve">20</t>
  </si>
  <si>
    <t xml:space="preserve">D4a</t>
  </si>
  <si>
    <t xml:space="preserve">田舎の通り</t>
  </si>
  <si>
    <r>
      <rPr>
        <sz val="10"/>
        <rFont val="WenQuanYi Zen Hei"/>
        <family val="2"/>
      </rPr>
      <t xml:space="preserve">構図マーカーなし（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つと仮置き）</t>
    </r>
  </si>
  <si>
    <t xml:space="preserve">2</t>
  </si>
  <si>
    <t xml:space="preserve">ランドセル・リード・犬（パンチ）</t>
  </si>
  <si>
    <r>
      <rPr>
        <sz val="10"/>
        <rFont val="WenQuanYi Zen Hei"/>
        <family val="2"/>
      </rPr>
      <t xml:space="preserve">構図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M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：カメラが後ろへ下がりながら歩き芝居。犬の芝居（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E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L</t>
    </r>
    <r>
      <rPr>
        <sz val="10"/>
        <rFont val="WenQuanYi Zen Hei"/>
        <family val="2"/>
      </rPr>
      <t xml:space="preserve">）</t>
    </r>
  </si>
  <si>
    <t xml:space="preserve">21</t>
  </si>
  <si>
    <t xml:space="preserve">通り（脚本）／防波堤（現行表）</t>
  </si>
  <si>
    <r>
      <rPr>
        <sz val="10"/>
        <rFont val="WenQuanYi Zen Hei"/>
        <family val="2"/>
      </rPr>
      <t xml:space="preserve">構図マーカーなし（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つと仮置き）。歩きながらの会話</t>
    </r>
  </si>
  <si>
    <t xml:space="preserve">22</t>
  </si>
  <si>
    <t xml:space="preserve">海（砂浜）</t>
  </si>
  <si>
    <t xml:space="preserve">全力で走る。砂浜の足跡を消すリセットが必要。波音は別録り</t>
  </si>
  <si>
    <t xml:space="preserve">1</t>
  </si>
  <si>
    <t xml:space="preserve">D4b</t>
  </si>
  <si>
    <t xml:space="preserve">砂浜（脚本）／防波堤（現行表）</t>
  </si>
  <si>
    <r>
      <rPr>
        <sz val="10"/>
        <rFont val="Arial"/>
        <family val="0"/>
        <charset val="1"/>
      </rPr>
      <t xml:space="preserve">18mm</t>
    </r>
    <r>
      <rPr>
        <sz val="10"/>
        <rFont val="WenQuanYi Zen Hei"/>
        <family val="2"/>
      </rPr>
      <t xml:space="preserve">広角で背中に寄っていく。オレンジ色の夕焼け</t>
    </r>
  </si>
  <si>
    <t xml:space="preserve">合計</t>
  </si>
  <si>
    <t xml:space="preserve">学校内・ロケ地間の移動と切り替え（分）※校舎の距離は未測定のため仮定</t>
  </si>
  <si>
    <t xml:space="preserve">移動の種類</t>
  </si>
  <si>
    <t xml:space="preserve">最長</t>
  </si>
  <si>
    <t xml:space="preserve">仮定の内容</t>
  </si>
  <si>
    <t xml:space="preserve">同一場所</t>
  </si>
  <si>
    <t xml:space="preserve">同じ場所で向きだけ変える</t>
  </si>
  <si>
    <t xml:space="preserve">その場転換</t>
  </si>
  <si>
    <t xml:space="preserve">同じ教室で時計・黒板・机・ランドセルを変える（時間経過）</t>
  </si>
  <si>
    <t xml:space="preserve">同一フロア</t>
  </si>
  <si>
    <t xml:space="preserve">機材を持って同じ階の隣の場所へ</t>
  </si>
  <si>
    <t xml:space="preserve">校舎内別フロア</t>
  </si>
  <si>
    <t xml:space="preserve">階段で機材を上げ下ろし</t>
  </si>
  <si>
    <t xml:space="preserve">校舎↔屋外</t>
  </si>
  <si>
    <t xml:space="preserve">校舎と校門・校庭の行き来</t>
  </si>
  <si>
    <t xml:space="preserve">校舎↔体育館</t>
  </si>
  <si>
    <t xml:space="preserve">渡り廊下・靴の履き替えを含む</t>
  </si>
  <si>
    <t xml:space="preserve">車移動（長）</t>
  </si>
  <si>
    <r>
      <rPr>
        <sz val="10"/>
        <rFont val="WenQuanYi Zen Hei"/>
        <family val="2"/>
      </rPr>
      <t xml:space="preserve">通り→防波堤（現行表は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分）</t>
    </r>
  </si>
  <si>
    <t xml:space="preserve">車移動（短）</t>
  </si>
  <si>
    <r>
      <rPr>
        <sz val="10"/>
        <rFont val="WenQuanYi Zen Hei"/>
        <family val="2"/>
      </rPr>
      <t xml:space="preserve">防波堤→海（現行表は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分・準備込み）</t>
    </r>
  </si>
  <si>
    <t xml:space="preserve">浜の中で移動</t>
  </si>
  <si>
    <r>
      <rPr>
        <sz val="10"/>
        <rFont val="Arial"/>
        <family val="0"/>
        <charset val="1"/>
      </rPr>
      <t xml:space="preserve">S22</t>
    </r>
    <r>
      <rPr>
        <sz val="10"/>
        <rFont val="WenQuanYi Zen Hei"/>
        <family val="2"/>
      </rPr>
      <t xml:space="preserve">と</t>
    </r>
    <r>
      <rPr>
        <sz val="10"/>
        <rFont val="Arial"/>
        <family val="0"/>
        <charset val="1"/>
      </rPr>
      <t xml:space="preserve">S1</t>
    </r>
    <r>
      <rPr>
        <sz val="10"/>
        <rFont val="WenQuanYi Zen Hei"/>
        <family val="2"/>
      </rPr>
      <t xml:space="preserve">が同じ浜なら最短</t>
    </r>
    <r>
      <rPr>
        <sz val="10"/>
        <rFont val="Arial"/>
        <family val="0"/>
        <charset val="1"/>
      </rPr>
      <t xml:space="preserve">0</t>
    </r>
  </si>
  <si>
    <t xml:space="preserve">区間</t>
  </si>
  <si>
    <t xml:space="preserve">現行表で取っている時間</t>
  </si>
  <si>
    <r>
      <rPr>
        <sz val="10"/>
        <rFont val="Arial"/>
        <family val="0"/>
        <charset val="1"/>
      </rPr>
      <t xml:space="preserve">S3 </t>
    </r>
    <r>
      <rPr>
        <sz val="10"/>
        <rFont val="WenQuanYi Zen Hei"/>
        <family val="2"/>
      </rPr>
      <t xml:space="preserve">校門 → </t>
    </r>
    <r>
      <rPr>
        <sz val="10"/>
        <rFont val="Arial"/>
        <family val="0"/>
        <charset val="1"/>
      </rPr>
      <t xml:space="preserve">S4 </t>
    </r>
    <r>
      <rPr>
        <sz val="10"/>
        <rFont val="WenQuanYi Zen Hei"/>
        <family val="2"/>
      </rPr>
      <t xml:space="preserve">階段</t>
    </r>
  </si>
  <si>
    <r>
      <rPr>
        <sz val="10"/>
        <rFont val="Arial"/>
        <family val="0"/>
        <charset val="1"/>
      </rPr>
      <t xml:space="preserve">S4 </t>
    </r>
    <r>
      <rPr>
        <sz val="10"/>
        <rFont val="WenQuanYi Zen Hei"/>
        <family val="2"/>
      </rPr>
      <t xml:space="preserve">階段 →（昼食）→ </t>
    </r>
    <r>
      <rPr>
        <sz val="10"/>
        <rFont val="Arial"/>
        <family val="0"/>
        <charset val="1"/>
      </rPr>
      <t xml:space="preserve">S16A </t>
    </r>
    <r>
      <rPr>
        <sz val="10"/>
        <rFont val="WenQuanYi Zen Hei"/>
        <family val="2"/>
      </rPr>
      <t xml:space="preserve">校庭</t>
    </r>
  </si>
  <si>
    <r>
      <rPr>
        <sz val="10"/>
        <rFont val="Arial"/>
        <family val="0"/>
        <charset val="1"/>
      </rPr>
      <t xml:space="preserve">S16A → S13 </t>
    </r>
    <r>
      <rPr>
        <sz val="10"/>
        <rFont val="WenQuanYi Zen Hei"/>
        <family val="2"/>
      </rPr>
      <t xml:space="preserve">同じ校庭</t>
    </r>
  </si>
  <si>
    <r>
      <rPr>
        <sz val="10"/>
        <rFont val="Arial"/>
        <family val="0"/>
        <charset val="1"/>
      </rPr>
      <t xml:space="preserve">S5 → S6 </t>
    </r>
    <r>
      <rPr>
        <sz val="10"/>
        <rFont val="WenQuanYi Zen Hei"/>
        <family val="2"/>
      </rPr>
      <t xml:space="preserve">時計・黒板の変更</t>
    </r>
  </si>
  <si>
    <r>
      <rPr>
        <sz val="10"/>
        <rFont val="Arial"/>
        <family val="0"/>
        <charset val="1"/>
      </rPr>
      <t xml:space="preserve">S6 → S8 </t>
    </r>
    <r>
      <rPr>
        <sz val="10"/>
        <rFont val="WenQuanYi Zen Hei"/>
        <family val="2"/>
      </rPr>
      <t xml:space="preserve">時計・黒板の変更</t>
    </r>
  </si>
  <si>
    <r>
      <rPr>
        <sz val="10"/>
        <rFont val="Arial"/>
        <family val="0"/>
        <charset val="1"/>
      </rPr>
      <t xml:space="preserve">S8 </t>
    </r>
    <r>
      <rPr>
        <sz val="10"/>
        <rFont val="WenQuanYi Zen Hei"/>
        <family val="2"/>
      </rPr>
      <t xml:space="preserve">教室 → </t>
    </r>
    <r>
      <rPr>
        <sz val="10"/>
        <rFont val="Arial"/>
        <family val="0"/>
        <charset val="1"/>
      </rPr>
      <t xml:space="preserve">S9 </t>
    </r>
    <r>
      <rPr>
        <sz val="10"/>
        <rFont val="WenQuanYi Zen Hei"/>
        <family val="2"/>
      </rPr>
      <t xml:space="preserve">廊下</t>
    </r>
  </si>
  <si>
    <r>
      <rPr>
        <sz val="10"/>
        <rFont val="Arial"/>
        <family val="0"/>
        <charset val="1"/>
      </rPr>
      <t xml:space="preserve">S9 </t>
    </r>
    <r>
      <rPr>
        <sz val="10"/>
        <rFont val="WenQuanYi Zen Hei"/>
        <family val="2"/>
      </rPr>
      <t xml:space="preserve">廊下 → </t>
    </r>
    <r>
      <rPr>
        <sz val="10"/>
        <rFont val="Arial"/>
        <family val="0"/>
        <charset val="1"/>
      </rPr>
      <t xml:space="preserve">S10 </t>
    </r>
    <r>
      <rPr>
        <sz val="10"/>
        <rFont val="WenQuanYi Zen Hei"/>
        <family val="2"/>
      </rPr>
      <t xml:space="preserve">教室（机を散らかす）</t>
    </r>
  </si>
  <si>
    <r>
      <rPr>
        <sz val="10"/>
        <rFont val="Arial"/>
        <family val="0"/>
        <charset val="1"/>
      </rPr>
      <t xml:space="preserve">S10 → S18 </t>
    </r>
    <r>
      <rPr>
        <sz val="10"/>
        <rFont val="WenQuanYi Zen Hei"/>
        <family val="2"/>
      </rPr>
      <t xml:space="preserve">帰りの会（ランドセル・黒板）</t>
    </r>
  </si>
  <si>
    <r>
      <rPr>
        <sz val="10"/>
        <rFont val="Arial"/>
        <family val="0"/>
        <charset val="1"/>
      </rPr>
      <t xml:space="preserve">S15 </t>
    </r>
    <r>
      <rPr>
        <sz val="10"/>
        <rFont val="WenQuanYi Zen Hei"/>
        <family val="2"/>
      </rPr>
      <t xml:space="preserve">体育館 → </t>
    </r>
    <r>
      <rPr>
        <sz val="10"/>
        <rFont val="Arial"/>
        <family val="0"/>
        <charset val="1"/>
      </rPr>
      <t xml:space="preserve">S12 </t>
    </r>
    <r>
      <rPr>
        <sz val="10"/>
        <rFont val="WenQuanYi Zen Hei"/>
        <family val="2"/>
      </rPr>
      <t xml:space="preserve">一階廊下</t>
    </r>
  </si>
  <si>
    <r>
      <rPr>
        <sz val="10"/>
        <rFont val="Arial"/>
        <family val="0"/>
        <charset val="1"/>
      </rPr>
      <t xml:space="preserve">S12 → S14 </t>
    </r>
    <r>
      <rPr>
        <sz val="10"/>
        <rFont val="WenQuanYi Zen Hei"/>
        <family val="2"/>
      </rPr>
      <t xml:space="preserve">廊下</t>
    </r>
  </si>
  <si>
    <r>
      <rPr>
        <sz val="10"/>
        <rFont val="Arial"/>
        <family val="0"/>
        <charset val="1"/>
      </rPr>
      <t xml:space="preserve">S14 →</t>
    </r>
    <r>
      <rPr>
        <sz val="10"/>
        <rFont val="WenQuanYi Zen Hei"/>
        <family val="2"/>
      </rPr>
      <t xml:space="preserve">（昼食）→ </t>
    </r>
    <r>
      <rPr>
        <sz val="10"/>
        <rFont val="Arial"/>
        <family val="0"/>
        <charset val="1"/>
      </rPr>
      <t xml:space="preserve">S16 </t>
    </r>
    <r>
      <rPr>
        <sz val="10"/>
        <rFont val="WenQuanYi Zen Hei"/>
        <family val="2"/>
      </rPr>
      <t xml:space="preserve">校庭</t>
    </r>
  </si>
  <si>
    <r>
      <rPr>
        <sz val="10"/>
        <rFont val="Arial"/>
        <family val="0"/>
        <charset val="1"/>
      </rPr>
      <t xml:space="preserve">S16 </t>
    </r>
    <r>
      <rPr>
        <sz val="10"/>
        <rFont val="WenQuanYi Zen Hei"/>
        <family val="2"/>
      </rPr>
      <t xml:space="preserve">校庭 → </t>
    </r>
    <r>
      <rPr>
        <sz val="10"/>
        <rFont val="Arial"/>
        <family val="0"/>
        <charset val="1"/>
      </rPr>
      <t xml:space="preserve">S11 </t>
    </r>
    <r>
      <rPr>
        <sz val="10"/>
        <rFont val="WenQuanYi Zen Hei"/>
        <family val="2"/>
      </rPr>
      <t xml:space="preserve">廊下・階段（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階）</t>
    </r>
  </si>
  <si>
    <r>
      <rPr>
        <sz val="10"/>
        <rFont val="Arial"/>
        <family val="0"/>
        <charset val="1"/>
      </rPr>
      <t xml:space="preserve">S19 </t>
    </r>
    <r>
      <rPr>
        <sz val="10"/>
        <rFont val="WenQuanYi Zen Hei"/>
        <family val="2"/>
      </rPr>
      <t xml:space="preserve">下駄箱 → </t>
    </r>
    <r>
      <rPr>
        <sz val="10"/>
        <rFont val="Arial"/>
        <family val="0"/>
        <charset val="1"/>
      </rPr>
      <t xml:space="preserve">S17 </t>
    </r>
    <r>
      <rPr>
        <sz val="10"/>
        <rFont val="WenQuanYi Zen Hei"/>
        <family val="2"/>
      </rPr>
      <t xml:space="preserve">空（廊下から）</t>
    </r>
  </si>
  <si>
    <r>
      <rPr>
        <sz val="10"/>
        <rFont val="Arial"/>
        <family val="0"/>
        <charset val="1"/>
      </rPr>
      <t xml:space="preserve">S20 → S2 </t>
    </r>
    <r>
      <rPr>
        <sz val="10"/>
        <rFont val="WenQuanYi Zen Hei"/>
        <family val="2"/>
      </rPr>
      <t xml:space="preserve">同じ通り</t>
    </r>
  </si>
  <si>
    <r>
      <rPr>
        <sz val="10"/>
        <rFont val="Arial"/>
        <family val="0"/>
        <charset val="1"/>
      </rPr>
      <t xml:space="preserve">S2 </t>
    </r>
    <r>
      <rPr>
        <sz val="10"/>
        <rFont val="WenQuanYi Zen Hei"/>
        <family val="2"/>
      </rPr>
      <t xml:space="preserve">通り → </t>
    </r>
    <r>
      <rPr>
        <sz val="10"/>
        <rFont val="Arial"/>
        <family val="0"/>
        <charset val="1"/>
      </rPr>
      <t xml:space="preserve">S21 </t>
    </r>
    <r>
      <rPr>
        <sz val="10"/>
        <rFont val="WenQuanYi Zen Hei"/>
        <family val="2"/>
      </rPr>
      <t xml:space="preserve">防波堤</t>
    </r>
  </si>
  <si>
    <r>
      <rPr>
        <sz val="10"/>
        <rFont val="Arial"/>
        <family val="0"/>
        <charset val="1"/>
      </rPr>
      <t xml:space="preserve">S21 </t>
    </r>
    <r>
      <rPr>
        <sz val="10"/>
        <rFont val="WenQuanYi Zen Hei"/>
        <family val="2"/>
      </rPr>
      <t xml:space="preserve">防波堤 → </t>
    </r>
    <r>
      <rPr>
        <sz val="10"/>
        <rFont val="Arial"/>
        <family val="0"/>
        <charset val="1"/>
      </rPr>
      <t xml:space="preserve">S22 </t>
    </r>
    <r>
      <rPr>
        <sz val="10"/>
        <rFont val="WenQuanYi Zen Hei"/>
        <family val="2"/>
      </rPr>
      <t xml:space="preserve">海</t>
    </r>
  </si>
  <si>
    <r>
      <rPr>
        <sz val="10"/>
        <rFont val="Arial"/>
        <family val="0"/>
        <charset val="1"/>
      </rPr>
      <t xml:space="preserve">S22 </t>
    </r>
    <r>
      <rPr>
        <sz val="10"/>
        <rFont val="WenQuanYi Zen Hei"/>
        <family val="2"/>
      </rPr>
      <t xml:space="preserve">海 → </t>
    </r>
    <r>
      <rPr>
        <sz val="10"/>
        <rFont val="Arial"/>
        <family val="0"/>
        <charset val="1"/>
      </rPr>
      <t xml:space="preserve">S1 </t>
    </r>
    <r>
      <rPr>
        <sz val="10"/>
        <rFont val="WenQuanYi Zen Hei"/>
        <family val="2"/>
      </rPr>
      <t xml:space="preserve">防波堤／砂浜</t>
    </r>
  </si>
  <si>
    <r>
      <rPr>
        <b val="true"/>
        <sz val="12"/>
        <rFont val="WenQuanYi Zen Hei"/>
        <family val="2"/>
      </rPr>
      <t xml:space="preserve">ロケハン（</t>
    </r>
    <r>
      <rPr>
        <b val="true"/>
        <sz val="12"/>
        <rFont val="Arial"/>
        <family val="0"/>
        <charset val="1"/>
      </rPr>
      <t xml:space="preserve">10/29</t>
    </r>
    <r>
      <rPr>
        <b val="true"/>
        <sz val="12"/>
        <rFont val="WenQuanYi Zen Hei"/>
        <family val="2"/>
      </rPr>
      <t xml:space="preserve">・</t>
    </r>
    <r>
      <rPr>
        <b val="true"/>
        <sz val="12"/>
        <rFont val="Arial"/>
        <family val="0"/>
        <charset val="1"/>
      </rPr>
      <t xml:space="preserve">10/30</t>
    </r>
    <r>
      <rPr>
        <b val="true"/>
        <sz val="12"/>
        <rFont val="WenQuanYi Zen Hei"/>
        <family val="2"/>
      </rPr>
      <t xml:space="preserve">）で測る項目</t>
    </r>
  </si>
  <si>
    <r>
      <rPr>
        <sz val="10"/>
        <rFont val="WenQuanYi Zen Hei"/>
        <family val="2"/>
      </rPr>
      <t xml:space="preserve">校門→階段→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階教室の歩行時間（機材あり・台車あり）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</si>
  <si>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階教室→廊下→階段（</t>
    </r>
    <r>
      <rPr>
        <sz val="10"/>
        <rFont val="Arial"/>
        <family val="0"/>
        <charset val="1"/>
      </rPr>
      <t xml:space="preserve">S11</t>
    </r>
    <r>
      <rPr>
        <sz val="10"/>
        <rFont val="WenQuanYi Zen Hei"/>
        <family val="2"/>
      </rPr>
      <t xml:space="preserve">の動線）の距離と、カメラが後ろに下がれる幅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</si>
  <si>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階廊下（図書室前・</t>
    </r>
    <r>
      <rPr>
        <sz val="10"/>
        <rFont val="Arial"/>
        <family val="0"/>
        <charset val="1"/>
      </rPr>
      <t xml:space="preserve">S12</t>
    </r>
    <r>
      <rPr>
        <sz val="10"/>
        <rFont val="WenQuanYi Zen Hei"/>
        <family val="2"/>
      </rPr>
      <t xml:space="preserve">）→体育館の距離、渡り廊下の有無、靴の履き替え場所</t>
    </r>
  </si>
  <si>
    <r>
      <rPr>
        <sz val="10"/>
        <rFont val="WenQuanYi Zen Hei"/>
        <family val="2"/>
      </rPr>
      <t xml:space="preserve">体育館の天井通路（</t>
    </r>
    <r>
      <rPr>
        <sz val="10"/>
        <rFont val="Arial"/>
        <family val="0"/>
        <charset val="1"/>
      </rPr>
      <t xml:space="preserve">S15</t>
    </r>
    <r>
      <rPr>
        <sz val="10"/>
        <rFont val="WenQuanYi Zen Hei"/>
        <family val="2"/>
      </rPr>
      <t xml:space="preserve">構図</t>
    </r>
    <r>
      <rPr>
        <sz val="10"/>
        <rFont val="Arial"/>
        <family val="0"/>
        <charset val="1"/>
      </rPr>
      <t xml:space="preserve">G</t>
    </r>
    <r>
      <rPr>
        <sz val="10"/>
        <rFont val="WenQuanYi Zen Hei"/>
        <family val="2"/>
      </rPr>
      <t xml:space="preserve">）に上がれるか、安全柵、上がるまでの時間</t>
    </r>
  </si>
  <si>
    <r>
      <rPr>
        <sz val="10"/>
        <rFont val="WenQuanYi Zen Hei"/>
        <family val="2"/>
      </rPr>
      <t xml:space="preserve">校舎→校庭（</t>
    </r>
    <r>
      <rPr>
        <sz val="10"/>
        <rFont val="Arial"/>
        <family val="0"/>
        <charset val="1"/>
      </rPr>
      <t xml:space="preserve">S16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S13</t>
    </r>
    <r>
      <rPr>
        <sz val="10"/>
        <rFont val="WenQuanYi Zen Hei"/>
        <family val="2"/>
      </rPr>
      <t xml:space="preserve">）の距離、電源の取り方</t>
    </r>
  </si>
  <si>
    <r>
      <rPr>
        <sz val="10"/>
        <rFont val="WenQuanYi Zen Hei"/>
        <family val="2"/>
      </rPr>
      <t xml:space="preserve">下駄箱（</t>
    </r>
    <r>
      <rPr>
        <sz val="10"/>
        <rFont val="Arial"/>
        <family val="0"/>
        <charset val="1"/>
      </rPr>
      <t xml:space="preserve">S19</t>
    </r>
    <r>
      <rPr>
        <sz val="10"/>
        <rFont val="WenQuanYi Zen Hei"/>
        <family val="2"/>
      </rPr>
      <t xml:space="preserve">）の向き（西日が入るか）と、夕方に外が見えるか</t>
    </r>
  </si>
  <si>
    <t xml:space="preserve">7</t>
  </si>
  <si>
    <r>
      <rPr>
        <sz val="10"/>
        <rFont val="Arial"/>
        <family val="0"/>
        <charset val="1"/>
      </rPr>
      <t xml:space="preserve">S17</t>
    </r>
    <r>
      <rPr>
        <sz val="10"/>
        <rFont val="WenQuanYi Zen Hei"/>
        <family val="2"/>
      </rPr>
      <t xml:space="preserve">の空：廊下から校庭側の空が西〜南西を向いているか</t>
    </r>
  </si>
  <si>
    <t xml:space="preserve">各教室・廊下・体育館のルームトーン（環境音）と、近くの道路・換気扇の音</t>
  </si>
  <si>
    <r>
      <rPr>
        <sz val="10"/>
        <rFont val="WenQuanYi Zen Hei"/>
        <family val="2"/>
      </rPr>
      <t xml:space="preserve">教室の時計を動かせるか（</t>
    </r>
    <r>
      <rPr>
        <sz val="10"/>
        <rFont val="Arial"/>
        <family val="0"/>
        <charset val="1"/>
      </rPr>
      <t xml:space="preserve">S6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S8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S18</t>
    </r>
    <r>
      <rPr>
        <sz val="10"/>
        <rFont val="WenQuanYi Zen Hei"/>
        <family val="2"/>
      </rPr>
      <t xml:space="preserve">の時刻合わせ）、黒板を使ってよいか</t>
    </r>
  </si>
  <si>
    <t xml:space="preserve">機材置き場（ベース）から各場所までの距離、トイレ・控室（子ども用）の位置</t>
  </si>
  <si>
    <r>
      <rPr>
        <sz val="10"/>
        <rFont val="WenQuanYi Zen Hei"/>
        <family val="2"/>
      </rPr>
      <t xml:space="preserve">通り（</t>
    </r>
    <r>
      <rPr>
        <sz val="10"/>
        <rFont val="Arial"/>
        <family val="0"/>
        <charset val="1"/>
      </rPr>
      <t xml:space="preserve">S2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S20</t>
    </r>
    <r>
      <rPr>
        <sz val="10"/>
        <rFont val="WenQuanYi Zen Hei"/>
        <family val="2"/>
      </rPr>
      <t xml:space="preserve">）の交通量、犬の散歩ルートの安全、撮影許可の範囲</t>
    </r>
  </si>
  <si>
    <t xml:space="preserve">通り→防波堤→海の車移動時間、駐車場所から撮影場所までの歩き時間</t>
  </si>
  <si>
    <r>
      <rPr>
        <sz val="10"/>
        <rFont val="Arial"/>
        <family val="0"/>
        <charset val="1"/>
      </rPr>
      <t xml:space="preserve">S1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S22</t>
    </r>
    <r>
      <rPr>
        <sz val="10"/>
        <rFont val="WenQuanYi Zen Hei"/>
        <family val="2"/>
      </rPr>
      <t xml:space="preserve">が同じ浜で撮れるか（脚本は砂浜、現行表は防波堤）</t>
    </r>
  </si>
  <si>
    <r>
      <rPr>
        <sz val="10"/>
        <rFont val="Arial"/>
        <family val="0"/>
        <charset val="1"/>
      </rPr>
      <t xml:space="preserve">S1</t>
    </r>
    <r>
      <rPr>
        <sz val="10"/>
        <rFont val="WenQuanYi Zen Hei"/>
        <family val="2"/>
      </rPr>
      <t xml:space="preserve">の位置で、日没の方角（西南西）に海が見えるか</t>
    </r>
  </si>
  <si>
    <t xml:space="preserve">日没と夕方シーンの照合</t>
  </si>
  <si>
    <r>
      <rPr>
        <b val="true"/>
        <sz val="10"/>
        <rFont val="Arial"/>
        <family val="0"/>
        <charset val="1"/>
      </rPr>
      <t xml:space="preserve">11/7</t>
    </r>
    <r>
      <rPr>
        <b val="true"/>
        <sz val="10"/>
        <rFont val="WenQuanYi Zen Hei"/>
        <family val="2"/>
      </rPr>
      <t xml:space="preserve">との差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</si>
  <si>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t xml:space="preserve">日没（推定）</t>
  </si>
  <si>
    <r>
      <rPr>
        <sz val="10"/>
        <rFont val="WenQuanYi Zen Hei"/>
        <family val="2"/>
      </rPr>
      <t xml:space="preserve">現行表の値「日没</t>
    </r>
    <r>
      <rPr>
        <sz val="10"/>
        <rFont val="Arial"/>
        <family val="0"/>
        <charset val="1"/>
      </rPr>
      <t xml:space="preserve">17:08</t>
    </r>
    <r>
      <rPr>
        <sz val="10"/>
        <rFont val="WenQuanYi Zen Hei"/>
        <family val="2"/>
      </rPr>
      <t xml:space="preserve">ごろ」。ロケ地の正確な日没を要確認</t>
    </r>
  </si>
  <si>
    <r>
      <rPr>
        <sz val="10"/>
        <rFont val="WenQuanYi Zen Hei"/>
        <family val="2"/>
      </rPr>
      <t xml:space="preserve">北緯</t>
    </r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度付近で計算した日ごとの差（</t>
    </r>
    <r>
      <rPr>
        <sz val="10"/>
        <rFont val="Arial"/>
        <family val="0"/>
        <charset val="1"/>
      </rPr>
      <t xml:space="preserve">NOAA</t>
    </r>
    <r>
      <rPr>
        <sz val="10"/>
        <rFont val="WenQuanYi Zen Hei"/>
        <family val="2"/>
      </rPr>
      <t xml:space="preserve">の式）</t>
    </r>
  </si>
  <si>
    <t xml:space="preserve">時間帯の窓</t>
  </si>
  <si>
    <r>
      <rPr>
        <b val="true"/>
        <sz val="10"/>
        <rFont val="WenQuanYi Zen Hei"/>
        <family val="2"/>
      </rPr>
      <t xml:space="preserve">日没からの開始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</si>
  <si>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日没からの終了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</si>
  <si>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t xml:space="preserve">意味</t>
  </si>
  <si>
    <t xml:space="preserve">夕方の光</t>
  </si>
  <si>
    <r>
      <rPr>
        <sz val="10"/>
        <rFont val="WenQuanYi Zen Hei"/>
        <family val="2"/>
      </rPr>
      <t xml:space="preserve">日が低く、オレンジがかった光（日没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分前〜日没）</t>
    </r>
  </si>
  <si>
    <t xml:space="preserve">夕焼けの空</t>
  </si>
  <si>
    <r>
      <rPr>
        <sz val="10"/>
        <rFont val="WenQuanYi Zen Hei"/>
        <family val="2"/>
      </rPr>
      <t xml:space="preserve">空がオレンジに染まる時間（日没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分前〜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分後）</t>
    </r>
  </si>
  <si>
    <t xml:space="preserve">窓の種類</t>
  </si>
  <si>
    <t xml:space="preserve">日没</t>
  </si>
  <si>
    <t xml:space="preserve">窓の開始</t>
  </si>
  <si>
    <t xml:space="preserve">窓の終了</t>
  </si>
  <si>
    <r>
      <rPr>
        <sz val="11"/>
        <color theme="1"/>
        <rFont val="WenQuanYi Zen Hei"/>
        <family val="2"/>
      </rPr>
      <t xml:space="preserve">※朝のシーン（</t>
    </r>
    <r>
      <rPr>
        <sz val="11"/>
        <color theme="1"/>
        <rFont val="Arial"/>
        <family val="0"/>
        <charset val="1"/>
      </rPr>
      <t xml:space="preserve">S3 11:30</t>
    </r>
    <r>
      <rPr>
        <sz val="11"/>
        <color theme="1"/>
        <rFont val="WenQuanYi Zen Hei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S2 11:40</t>
    </r>
    <r>
      <rPr>
        <sz val="11"/>
        <color theme="1"/>
        <rFont val="WenQuanYi Zen Hei"/>
        <family val="2"/>
      </rPr>
      <t xml:space="preserve">〜）は、太陽が高い時間です。影が短くなるので、朝らしさが出にくい点に注意。</t>
    </r>
  </si>
  <si>
    <t xml:space="preserve">日ごと（ブロックごと）の使える時間と必要時間</t>
  </si>
  <si>
    <r>
      <rPr>
        <sz val="11"/>
        <color theme="1"/>
        <rFont val="WenQuanYi Zen Hei"/>
        <family val="2"/>
      </rPr>
      <t xml:space="preserve">ブロック＝光や日没で開始時刻が決まる区切り。終了予測＝</t>
    </r>
    <r>
      <rPr>
        <sz val="11"/>
        <color theme="1"/>
        <rFont val="Arial"/>
        <family val="0"/>
        <charset val="1"/>
      </rPr>
      <t xml:space="preserve">MAX(</t>
    </r>
    <r>
      <rPr>
        <sz val="11"/>
        <color theme="1"/>
        <rFont val="WenQuanYi Zen Hei"/>
        <family val="2"/>
      </rPr>
      <t xml:space="preserve">ブロック開始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WenQuanYi Zen Hei"/>
        <family val="2"/>
      </rPr>
      <t xml:space="preserve">前のブロックの終了予測</t>
    </r>
    <r>
      <rPr>
        <sz val="11"/>
        <color theme="1"/>
        <rFont val="Arial"/>
        <family val="0"/>
        <charset val="1"/>
      </rPr>
      <t xml:space="preserve">)</t>
    </r>
    <r>
      <rPr>
        <sz val="11"/>
        <color theme="1"/>
        <rFont val="WenQuanYi Zen Hei"/>
        <family val="2"/>
      </rPr>
      <t xml:space="preserve">＋昼食＋必要時間。</t>
    </r>
  </si>
  <si>
    <t xml:space="preserve">開始</t>
  </si>
  <si>
    <t xml:space="preserve">終了の上限</t>
  </si>
  <si>
    <r>
      <rPr>
        <b val="true"/>
        <sz val="10"/>
        <rFont val="WenQuanYi Zen Hei"/>
        <family val="2"/>
      </rPr>
      <t xml:space="preserve">昼食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</si>
  <si>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使える時間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</si>
  <si>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現行のシーン枠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</si>
  <si>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現行の移動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</si>
  <si>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現行の予備・待ち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</si>
  <si>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t xml:space="preserve">ピンマイク作業人数</t>
  </si>
  <si>
    <r>
      <rPr>
        <b val="true"/>
        <sz val="10"/>
        <rFont val="WenQuanYi Zen Hei"/>
        <family val="2"/>
      </rPr>
      <t xml:space="preserve">必要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最短</t>
    </r>
  </si>
  <si>
    <r>
      <rPr>
        <b val="true"/>
        <sz val="10"/>
        <rFont val="WenQuanYi Zen Hei"/>
        <family val="2"/>
      </rPr>
      <t xml:space="preserve">必要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標準</t>
    </r>
  </si>
  <si>
    <r>
      <rPr>
        <b val="true"/>
        <sz val="10"/>
        <rFont val="WenQuanYi Zen Hei"/>
        <family val="2"/>
      </rPr>
      <t xml:space="preserve">必要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余裕</t>
    </r>
  </si>
  <si>
    <r>
      <rPr>
        <b val="true"/>
        <sz val="10"/>
        <rFont val="WenQuanYi Zen Hei"/>
        <family val="2"/>
      </rPr>
      <t xml:space="preserve">余白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最短</t>
    </r>
  </si>
  <si>
    <r>
      <rPr>
        <b val="true"/>
        <sz val="10"/>
        <rFont val="WenQuanYi Zen Hei"/>
        <family val="2"/>
      </rPr>
      <t xml:space="preserve">余白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標準</t>
    </r>
  </si>
  <si>
    <r>
      <rPr>
        <b val="true"/>
        <sz val="10"/>
        <rFont val="WenQuanYi Zen Hei"/>
        <family val="2"/>
      </rPr>
      <t xml:space="preserve">余白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余裕</t>
    </r>
  </si>
  <si>
    <r>
      <rPr>
        <b val="true"/>
        <sz val="10"/>
        <rFont val="WenQuanYi Zen Hei"/>
        <family val="2"/>
      </rPr>
      <t xml:space="preserve">予備の消費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標準</t>
    </r>
  </si>
  <si>
    <r>
      <rPr>
        <b val="true"/>
        <sz val="10"/>
        <rFont val="WenQuanYi Zen Hei"/>
        <family val="2"/>
      </rPr>
      <t xml:space="preserve">予備の消費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余裕</t>
    </r>
  </si>
  <si>
    <r>
      <rPr>
        <b val="true"/>
        <sz val="10"/>
        <rFont val="WenQuanYi Zen Hei"/>
        <family val="2"/>
      </rPr>
      <t xml:space="preserve">終了予測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最短</t>
    </r>
  </si>
  <si>
    <r>
      <rPr>
        <b val="true"/>
        <sz val="10"/>
        <rFont val="WenQuanYi Zen Hei"/>
        <family val="2"/>
      </rPr>
      <t xml:space="preserve">終了予測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標準</t>
    </r>
  </si>
  <si>
    <r>
      <rPr>
        <b val="true"/>
        <sz val="10"/>
        <rFont val="WenQuanYi Zen Hei"/>
        <family val="2"/>
      </rPr>
      <t xml:space="preserve">終了予測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余裕</t>
    </r>
  </si>
  <si>
    <r>
      <rPr>
        <b val="true"/>
        <sz val="10"/>
        <rFont val="WenQuanYi Zen Hei"/>
        <family val="2"/>
      </rPr>
      <t xml:space="preserve">判定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標準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</si>
  <si>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判定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余裕</t>
    </r>
    <r>
      <rPr>
        <b val="true"/>
        <sz val="10"/>
        <rFont val="Arial"/>
        <family val="0"/>
        <charset val="1"/>
      </rPr>
      <t xml:space="preserve">)</t>
    </r>
  </si>
  <si>
    <t xml:space="preserve">日ごとのまとめ（標準）</t>
  </si>
  <si>
    <t xml:space="preserve">日</t>
  </si>
  <si>
    <t xml:space="preserve">DAY1</t>
  </si>
  <si>
    <t xml:space="preserve">DAY2</t>
  </si>
  <si>
    <t xml:space="preserve">DAY3</t>
  </si>
  <si>
    <t xml:space="preserve">DAY4</t>
  </si>
  <si>
    <t xml:space="preserve">子役・エキストラの拘束時間（現行表どおりの場合）</t>
  </si>
  <si>
    <r>
      <rPr>
        <sz val="11"/>
        <color theme="1"/>
        <rFont val="WenQuanYi Zen Hei"/>
        <family val="2"/>
      </rPr>
      <t xml:space="preserve">解放＝最後の出番の終了＋片付け</t>
    </r>
    <r>
      <rPr>
        <sz val="11"/>
        <color theme="1"/>
        <rFont val="Arial"/>
        <family val="0"/>
        <charset val="1"/>
      </rPr>
      <t xml:space="preserve">15</t>
    </r>
    <r>
      <rPr>
        <sz val="11"/>
        <color theme="1"/>
        <rFont val="WenQuanYi Zen Hei"/>
        <family val="2"/>
      </rPr>
      <t xml:space="preserve">分。実働＝拘束−昼食（待ち時間も拘束に含めて考えます）。</t>
    </r>
  </si>
  <si>
    <t xml:space="preserve">人</t>
  </si>
  <si>
    <t xml:space="preserve">集合</t>
  </si>
  <si>
    <t xml:space="preserve">最後の出番の終了</t>
  </si>
  <si>
    <t xml:space="preserve">解放</t>
  </si>
  <si>
    <r>
      <rPr>
        <b val="true"/>
        <sz val="10"/>
        <rFont val="WenQuanYi Zen Hei"/>
        <family val="2"/>
      </rPr>
      <t xml:space="preserve">拘束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</si>
  <si>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実働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</si>
  <si>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出番の合計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</si>
  <si>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待ち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</si>
  <si>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目安</t>
    </r>
    <r>
      <rPr>
        <b val="true"/>
        <sz val="10"/>
        <rFont val="Arial"/>
        <family val="0"/>
        <charset val="1"/>
      </rPr>
      <t xml:space="preserve">(7</t>
    </r>
    <r>
      <rPr>
        <b val="true"/>
        <sz val="10"/>
        <rFont val="WenQuanYi Zen Hei"/>
        <family val="2"/>
      </rPr>
      <t xml:space="preserve">時間</t>
    </r>
    <r>
      <rPr>
        <b val="true"/>
        <sz val="10"/>
        <rFont val="Arial"/>
        <family val="0"/>
        <charset val="1"/>
      </rPr>
      <t xml:space="preserve">)</t>
    </r>
  </si>
  <si>
    <t xml:space="preserve">提案の集合</t>
  </si>
  <si>
    <t xml:space="preserve">提案の解放</t>
  </si>
  <si>
    <r>
      <rPr>
        <b val="true"/>
        <sz val="10"/>
        <rFont val="WenQuanYi Zen Hei"/>
        <family val="2"/>
      </rPr>
      <t xml:space="preserve">提案の実働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</si>
  <si>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t xml:space="preserve">リョウ</t>
  </si>
  <si>
    <r>
      <rPr>
        <sz val="10"/>
        <rFont val="Arial"/>
        <family val="0"/>
        <charset val="1"/>
      </rPr>
      <t xml:space="preserve">S3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S4</t>
    </r>
    <r>
      <rPr>
        <sz val="10"/>
        <rFont val="WenQuanYi Zen Hei"/>
        <family val="2"/>
      </rPr>
      <t xml:space="preserve">のみ。昼前に解放できる</t>
    </r>
  </si>
  <si>
    <t xml:space="preserve">チハル</t>
  </si>
  <si>
    <t xml:space="preserve">同上</t>
  </si>
  <si>
    <t xml:space="preserve">ソウタ</t>
  </si>
  <si>
    <r>
      <rPr>
        <sz val="10"/>
        <rFont val="WenQuanYi Zen Hei"/>
        <family val="2"/>
      </rPr>
      <t xml:space="preserve">出番は</t>
    </r>
    <r>
      <rPr>
        <sz val="10"/>
        <rFont val="Arial"/>
        <family val="0"/>
        <charset val="1"/>
      </rPr>
      <t xml:space="preserve">S13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14:30</t>
    </r>
    <r>
      <rPr>
        <sz val="10"/>
        <rFont val="WenQuanYi Zen Hei"/>
        <family val="2"/>
      </rPr>
      <t xml:space="preserve">〜）だけ。</t>
    </r>
    <r>
      <rPr>
        <sz val="10"/>
        <rFont val="Arial"/>
        <family val="0"/>
        <charset val="1"/>
      </rPr>
      <t xml:space="preserve">10:00</t>
    </r>
    <r>
      <rPr>
        <sz val="10"/>
        <rFont val="WenQuanYi Zen Hei"/>
        <family val="2"/>
      </rPr>
      <t xml:space="preserve">集合だと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時間半待ち</t>
    </r>
  </si>
  <si>
    <t xml:space="preserve">エキストラ②（全体）</t>
  </si>
  <si>
    <r>
      <rPr>
        <sz val="10"/>
        <rFont val="Arial"/>
        <family val="0"/>
        <charset val="1"/>
      </rPr>
      <t xml:space="preserve">S16A</t>
    </r>
    <r>
      <rPr>
        <sz val="10"/>
        <rFont val="WenQuanYi Zen Hei"/>
        <family val="2"/>
      </rPr>
      <t xml:space="preserve">の後にざわめき別撮りをすれば</t>
    </r>
    <r>
      <rPr>
        <sz val="10"/>
        <rFont val="Arial"/>
        <family val="0"/>
        <charset val="1"/>
      </rPr>
      <t xml:space="preserve">14:40</t>
    </r>
    <r>
      <rPr>
        <sz val="10"/>
        <rFont val="WenQuanYi Zen Hei"/>
        <family val="2"/>
      </rPr>
      <t xml:space="preserve">に解放できる</t>
    </r>
  </si>
  <si>
    <r>
      <rPr>
        <sz val="10"/>
        <rFont val="WenQuanYi Zen Hei"/>
        <family val="2"/>
      </rPr>
      <t xml:space="preserve">男子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人（②から）</t>
    </r>
  </si>
  <si>
    <r>
      <rPr>
        <sz val="10"/>
        <rFont val="Arial"/>
        <family val="0"/>
        <charset val="1"/>
      </rPr>
      <t xml:space="preserve">S13</t>
    </r>
    <r>
      <rPr>
        <sz val="10"/>
        <rFont val="WenQuanYi Zen Hei"/>
        <family val="2"/>
      </rPr>
      <t xml:space="preserve">の台詞あり。</t>
    </r>
    <r>
      <rPr>
        <sz val="10"/>
        <rFont val="Arial"/>
        <family val="0"/>
        <charset val="1"/>
      </rPr>
      <t xml:space="preserve">S12</t>
    </r>
    <r>
      <rPr>
        <sz val="10"/>
        <rFont val="WenQuanYi Zen Hei"/>
        <family val="2"/>
      </rPr>
      <t xml:space="preserve">の「男の子の声」もここで録れる</t>
    </r>
  </si>
  <si>
    <r>
      <rPr>
        <sz val="10"/>
        <rFont val="Arial"/>
        <family val="0"/>
        <charset val="1"/>
      </rPr>
      <t xml:space="preserve">S10</t>
    </r>
    <r>
      <rPr>
        <sz val="10"/>
        <rFont val="WenQuanYi Zen Hei"/>
        <family val="2"/>
      </rPr>
      <t xml:space="preserve">は出番なし</t>
    </r>
  </si>
  <si>
    <t xml:space="preserve">エキストラ①</t>
  </si>
  <si>
    <r>
      <rPr>
        <sz val="10"/>
        <rFont val="Arial"/>
        <family val="0"/>
        <charset val="1"/>
      </rPr>
      <t xml:space="preserve">S10</t>
    </r>
    <r>
      <rPr>
        <sz val="10"/>
        <rFont val="WenQuanYi Zen Hei"/>
        <family val="2"/>
      </rPr>
      <t xml:space="preserve">は女子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人だけ。他の子は</t>
    </r>
    <r>
      <rPr>
        <sz val="10"/>
        <rFont val="Arial"/>
        <family val="0"/>
        <charset val="1"/>
      </rPr>
      <t xml:space="preserve">14:15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15:15</t>
    </r>
    <r>
      <rPr>
        <sz val="10"/>
        <rFont val="WenQuanYi Zen Hei"/>
        <family val="2"/>
      </rPr>
      <t xml:space="preserve">に約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時間待ち</t>
    </r>
  </si>
  <si>
    <r>
      <rPr>
        <sz val="10"/>
        <rFont val="WenQuanYi Zen Hei"/>
        <family val="2"/>
      </rPr>
      <t xml:space="preserve">一番重い日。</t>
    </r>
    <r>
      <rPr>
        <sz val="10"/>
        <rFont val="Arial"/>
        <family val="0"/>
        <charset val="1"/>
      </rPr>
      <t xml:space="preserve">S19</t>
    </r>
    <r>
      <rPr>
        <sz val="10"/>
        <rFont val="WenQuanYi Zen Hei"/>
        <family val="2"/>
      </rPr>
      <t xml:space="preserve">の後も夕方まで現場</t>
    </r>
  </si>
  <si>
    <r>
      <rPr>
        <sz val="10"/>
        <rFont val="Arial"/>
        <family val="0"/>
        <charset val="1"/>
      </rPr>
      <t xml:space="preserve">S15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S16</t>
    </r>
  </si>
  <si>
    <t xml:space="preserve">ミオ</t>
  </si>
  <si>
    <r>
      <rPr>
        <sz val="10"/>
        <rFont val="WenQuanYi Zen Hei"/>
        <family val="2"/>
      </rPr>
      <t xml:space="preserve">出番は</t>
    </r>
    <r>
      <rPr>
        <sz val="10"/>
        <rFont val="Arial"/>
        <family val="0"/>
        <charset val="1"/>
      </rPr>
      <t xml:space="preserve">10:10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11:10</t>
    </r>
    <r>
      <rPr>
        <sz val="10"/>
        <rFont val="WenQuanYi Zen Hei"/>
        <family val="2"/>
      </rPr>
      <t xml:space="preserve">だけ</t>
    </r>
  </si>
  <si>
    <r>
      <rPr>
        <sz val="10"/>
        <rFont val="WenQuanYi Zen Hei"/>
        <family val="2"/>
      </rPr>
      <t xml:space="preserve">移動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分を含む</t>
    </r>
  </si>
  <si>
    <r>
      <rPr>
        <b val="true"/>
        <sz val="12"/>
        <rFont val="WenQuanYi Zen Hei"/>
        <family val="2"/>
      </rPr>
      <t xml:space="preserve">感度分析：</t>
    </r>
    <r>
      <rPr>
        <b val="true"/>
        <sz val="12"/>
        <rFont val="Arial"/>
        <family val="0"/>
        <charset val="1"/>
      </rPr>
      <t xml:space="preserve">S11</t>
    </r>
    <r>
      <rPr>
        <b val="true"/>
        <sz val="12"/>
        <rFont val="WenQuanYi Zen Hei"/>
        <family val="2"/>
      </rPr>
      <t xml:space="preserve">・</t>
    </r>
    <r>
      <rPr>
        <b val="true"/>
        <sz val="12"/>
        <rFont val="Arial"/>
        <family val="0"/>
        <charset val="1"/>
      </rPr>
      <t xml:space="preserve">S2</t>
    </r>
    <r>
      <rPr>
        <b val="true"/>
        <sz val="12"/>
        <rFont val="WenQuanYi Zen Hei"/>
        <family val="2"/>
      </rPr>
      <t xml:space="preserve">・</t>
    </r>
    <r>
      <rPr>
        <b val="true"/>
        <sz val="12"/>
        <rFont val="Arial"/>
        <family val="0"/>
        <charset val="1"/>
      </rPr>
      <t xml:space="preserve">S5</t>
    </r>
    <r>
      <rPr>
        <b val="true"/>
        <sz val="12"/>
        <rFont val="WenQuanYi Zen Hei"/>
        <family val="2"/>
      </rPr>
      <t xml:space="preserve">・</t>
    </r>
    <r>
      <rPr>
        <b val="true"/>
        <sz val="12"/>
        <rFont val="Arial"/>
        <family val="0"/>
        <charset val="1"/>
      </rPr>
      <t xml:space="preserve">S18</t>
    </r>
    <r>
      <rPr>
        <b val="true"/>
        <sz val="12"/>
        <rFont val="WenQuanYi Zen Hei"/>
        <family val="2"/>
      </rPr>
      <t xml:space="preserve">の見積もりが外れた場合</t>
    </r>
  </si>
  <si>
    <t xml:space="preserve">標準の見積もりに倍率をかけたとき、そのブロックの余白（分）と終了予測がどう動くか。倍率は青字で変更できます。</t>
  </si>
  <si>
    <t xml:space="preserve">倍率ごとのブロック余白（分）</t>
  </si>
  <si>
    <t xml:space="preserve">倍率ごとのブロック終了予測</t>
  </si>
  <si>
    <r>
      <rPr>
        <b val="true"/>
        <sz val="10"/>
        <rFont val="WenQuanYi Zen Hei"/>
        <family val="2"/>
      </rPr>
      <t xml:space="preserve">標準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</si>
  <si>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ブロック余白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標準</t>
    </r>
  </si>
  <si>
    <t xml:space="preserve">読み方</t>
  </si>
  <si>
    <r>
      <rPr>
        <sz val="11"/>
        <color theme="1"/>
        <rFont val="WenQuanYi Zen Hei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S5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D2a</t>
    </r>
    <r>
      <rPr>
        <sz val="11"/>
        <color theme="1"/>
        <rFont val="WenQuanYi Zen Hei"/>
        <family val="2"/>
      </rPr>
      <t xml:space="preserve">）と</t>
    </r>
    <r>
      <rPr>
        <sz val="11"/>
        <color theme="1"/>
        <rFont val="Arial"/>
        <family val="0"/>
        <charset val="1"/>
      </rPr>
      <t xml:space="preserve">S2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D4a</t>
    </r>
    <r>
      <rPr>
        <sz val="11"/>
        <color theme="1"/>
        <rFont val="WenQuanYi Zen Hei"/>
        <family val="2"/>
      </rPr>
      <t xml:space="preserve">）は、</t>
    </r>
    <r>
      <rPr>
        <sz val="11"/>
        <color theme="1"/>
        <rFont val="Arial"/>
        <family val="0"/>
        <charset val="1"/>
      </rPr>
      <t xml:space="preserve">×1.00</t>
    </r>
    <r>
      <rPr>
        <sz val="11"/>
        <color theme="1"/>
        <rFont val="WenQuanYi Zen Hei"/>
        <family val="2"/>
      </rPr>
      <t xml:space="preserve">でもブロックの余白がマイナス。</t>
    </r>
    <r>
      <rPr>
        <sz val="11"/>
        <color theme="1"/>
        <rFont val="Arial"/>
        <family val="0"/>
        <charset val="1"/>
      </rPr>
      <t xml:space="preserve">×0.75</t>
    </r>
    <r>
      <rPr>
        <sz val="11"/>
        <color theme="1"/>
        <rFont val="WenQuanYi Zen Hei"/>
        <family val="2"/>
      </rPr>
      <t xml:space="preserve">（最短に近い）でもマイナスなので、枠を広げる手当てが必要です。</t>
    </r>
  </si>
  <si>
    <r>
      <rPr>
        <sz val="11"/>
        <color theme="1"/>
        <rFont val="WenQuanYi Zen Hei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S11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D3a</t>
    </r>
    <r>
      <rPr>
        <sz val="11"/>
        <color theme="1"/>
        <rFont val="WenQuanYi Zen Hei"/>
        <family val="2"/>
      </rPr>
      <t xml:space="preserve">）は、ブロックの最後（</t>
    </r>
    <r>
      <rPr>
        <sz val="11"/>
        <color theme="1"/>
        <rFont val="Arial"/>
        <family val="0"/>
        <charset val="1"/>
      </rPr>
      <t xml:space="preserve">13:00</t>
    </r>
    <r>
      <rPr>
        <sz val="11"/>
        <color theme="1"/>
        <rFont val="WenQuanYi Zen Hei"/>
        <family val="2"/>
      </rPr>
      <t xml:space="preserve">〜）にあるので、</t>
    </r>
    <r>
      <rPr>
        <sz val="11"/>
        <color theme="1"/>
        <rFont val="Arial"/>
        <family val="0"/>
        <charset val="1"/>
      </rPr>
      <t xml:space="preserve">S15</t>
    </r>
    <r>
      <rPr>
        <sz val="11"/>
        <color theme="1"/>
        <rFont val="WenQuanYi Zen Hei"/>
        <family val="2"/>
      </rPr>
      <t xml:space="preserve">の超過がそのまま流れ込みます。</t>
    </r>
    <r>
      <rPr>
        <sz val="11"/>
        <color theme="1"/>
        <rFont val="Arial"/>
        <family val="0"/>
        <charset val="1"/>
      </rPr>
      <t xml:space="preserve">S11</t>
    </r>
    <r>
      <rPr>
        <sz val="11"/>
        <color theme="1"/>
        <rFont val="WenQuanYi Zen Hei"/>
        <family val="2"/>
      </rPr>
      <t xml:space="preserve">が</t>
    </r>
    <r>
      <rPr>
        <sz val="11"/>
        <color theme="1"/>
        <rFont val="Arial"/>
        <family val="0"/>
        <charset val="1"/>
      </rPr>
      <t xml:space="preserve">×1.5</t>
    </r>
    <r>
      <rPr>
        <sz val="11"/>
        <color theme="1"/>
        <rFont val="WenQuanYi Zen Hei"/>
        <family val="2"/>
      </rPr>
      <t xml:space="preserve">になると、さらに約</t>
    </r>
    <r>
      <rPr>
        <sz val="11"/>
        <color theme="1"/>
        <rFont val="Arial"/>
        <family val="0"/>
        <charset val="1"/>
      </rPr>
      <t xml:space="preserve">47</t>
    </r>
    <r>
      <rPr>
        <sz val="11"/>
        <color theme="1"/>
        <rFont val="WenQuanYi Zen Hei"/>
        <family val="2"/>
      </rPr>
      <t xml:space="preserve">分遅れて、</t>
    </r>
    <r>
      <rPr>
        <sz val="11"/>
        <color theme="1"/>
        <rFont val="Arial"/>
        <family val="0"/>
        <charset val="1"/>
      </rPr>
      <t xml:space="preserve">S19</t>
    </r>
    <r>
      <rPr>
        <sz val="11"/>
        <color theme="1"/>
        <rFont val="WenQuanYi Zen Hei"/>
        <family val="2"/>
      </rPr>
      <t xml:space="preserve">の夕方の光（</t>
    </r>
    <r>
      <rPr>
        <sz val="11"/>
        <color theme="1"/>
        <rFont val="Arial"/>
        <family val="0"/>
        <charset val="1"/>
      </rPr>
      <t xml:space="preserve">15:42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Arial"/>
        <family val="0"/>
        <charset val="1"/>
      </rPr>
      <t xml:space="preserve">17:12</t>
    </r>
    <r>
      <rPr>
        <sz val="11"/>
        <color theme="1"/>
        <rFont val="WenQuanYi Zen Hei"/>
        <family val="2"/>
      </rPr>
      <t xml:space="preserve">）に食い込みます。</t>
    </r>
  </si>
  <si>
    <r>
      <rPr>
        <sz val="11"/>
        <color theme="1"/>
        <rFont val="WenQuanYi Zen Hei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S18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D2b</t>
    </r>
    <r>
      <rPr>
        <sz val="11"/>
        <color theme="1"/>
        <rFont val="WenQuanYi Zen Hei"/>
        <family val="2"/>
      </rPr>
      <t xml:space="preserve">）は単体なら余白</t>
    </r>
    <r>
      <rPr>
        <sz val="11"/>
        <color theme="1"/>
        <rFont val="Arial"/>
        <family val="0"/>
        <charset val="1"/>
      </rPr>
      <t xml:space="preserve">+26</t>
    </r>
    <r>
      <rPr>
        <sz val="11"/>
        <color theme="1"/>
        <rFont val="WenQuanYi Zen Hei"/>
        <family val="2"/>
      </rPr>
      <t xml:space="preserve">分。</t>
    </r>
    <r>
      <rPr>
        <sz val="11"/>
        <color theme="1"/>
        <rFont val="Arial"/>
        <family val="0"/>
        <charset val="1"/>
      </rPr>
      <t xml:space="preserve">×1.25</t>
    </r>
    <r>
      <rPr>
        <sz val="11"/>
        <color theme="1"/>
        <rFont val="WenQuanYi Zen Hei"/>
        <family val="2"/>
      </rPr>
      <t xml:space="preserve">までは吸収できて、</t>
    </r>
    <r>
      <rPr>
        <sz val="11"/>
        <color theme="1"/>
        <rFont val="Arial"/>
        <family val="0"/>
        <charset val="1"/>
      </rPr>
      <t xml:space="preserve">×1.5</t>
    </r>
    <r>
      <rPr>
        <sz val="11"/>
        <color theme="1"/>
        <rFont val="WenQuanYi Zen Hei"/>
        <family val="2"/>
      </rPr>
      <t xml:space="preserve">で約−</t>
    </r>
    <r>
      <rPr>
        <sz val="11"/>
        <color theme="1"/>
        <rFont val="Arial"/>
        <family val="0"/>
        <charset val="1"/>
      </rPr>
      <t xml:space="preserve">9</t>
    </r>
    <r>
      <rPr>
        <sz val="11"/>
        <color theme="1"/>
        <rFont val="WenQuanYi Zen Hei"/>
        <family val="2"/>
      </rPr>
      <t xml:space="preserve">分。ただし実際の終了時刻は、前の</t>
    </r>
    <r>
      <rPr>
        <sz val="11"/>
        <color theme="1"/>
        <rFont val="Arial"/>
        <family val="0"/>
        <charset val="1"/>
      </rPr>
      <t xml:space="preserve">D2a</t>
    </r>
    <r>
      <rPr>
        <sz val="11"/>
        <color theme="1"/>
        <rFont val="WenQuanYi Zen Hei"/>
        <family val="2"/>
      </rPr>
      <t xml:space="preserve">の超過で決まります。</t>
    </r>
  </si>
  <si>
    <t xml:space="preserve">・ブロック終了予測は、同じ日の他のシーンが標準どおりに進んだ場合の値です（前のブロックの遅れも含みます）。</t>
  </si>
  <si>
    <r>
      <rPr>
        <sz val="11"/>
        <color theme="1"/>
        <rFont val="WenQuanYi Zen Hei"/>
        <family val="2"/>
      </rPr>
      <t xml:space="preserve">・予備の消費が</t>
    </r>
    <r>
      <rPr>
        <sz val="11"/>
        <color theme="1"/>
        <rFont val="Arial"/>
        <family val="0"/>
        <charset val="1"/>
      </rPr>
      <t xml:space="preserve">100%</t>
    </r>
    <r>
      <rPr>
        <sz val="11"/>
        <color theme="1"/>
        <rFont val="WenQuanYi Zen Hei"/>
        <family val="2"/>
      </rPr>
      <t xml:space="preserve">を超える＝予備を使い切ってもまだ足りない、という意味です。</t>
    </r>
  </si>
  <si>
    <t xml:space="preserve">要確認の一覧（推測で埋めていない点）</t>
  </si>
  <si>
    <t xml:space="preserve">No</t>
  </si>
  <si>
    <t xml:space="preserve">なぜ必要か</t>
  </si>
  <si>
    <t xml:space="preserve">誰に</t>
  </si>
  <si>
    <t xml:space="preserve">期限の目安</t>
  </si>
  <si>
    <r>
      <rPr>
        <sz val="10"/>
        <rFont val="WenQuanYi Zen Hei"/>
        <family val="2"/>
      </rPr>
      <t xml:space="preserve">引き継ぎ資料（</t>
    </r>
    <r>
      <rPr>
        <sz val="10"/>
        <rFont val="Arial"/>
        <family val="0"/>
        <charset val="1"/>
      </rPr>
      <t xml:space="preserve">.md</t>
    </r>
    <r>
      <rPr>
        <sz val="10"/>
        <rFont val="WenQuanYi Zen Hei"/>
        <family val="2"/>
      </rPr>
      <t xml:space="preserve">）の「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」「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決定事項」「※」の数字</t>
    </r>
  </si>
  <si>
    <t xml:space="preserve">今回は添付がなく読めていない。決定事項に反していないか照合が必要</t>
  </si>
  <si>
    <t xml:space="preserve">助監督（ご本人）</t>
  </si>
  <si>
    <t xml:space="preserve">すぐ</t>
  </si>
  <si>
    <t xml:space="preserve">構図マーカーの色（緑／ピンク／赤）の意味</t>
  </si>
  <si>
    <t xml:space="preserve">ピンク・赤を「未確定」として扱った。違えば見積もりが変わる</t>
  </si>
  <si>
    <t xml:space="preserve">監督</t>
  </si>
  <si>
    <t xml:space="preserve">10/25</t>
  </si>
  <si>
    <r>
      <rPr>
        <sz val="10"/>
        <rFont val="Arial"/>
        <family val="0"/>
        <charset val="1"/>
      </rPr>
      <t xml:space="preserve">S7</t>
    </r>
    <r>
      <rPr>
        <sz val="10"/>
        <rFont val="WenQuanYi Zen Hei"/>
        <family val="2"/>
      </rPr>
      <t xml:space="preserve">（笹原の見回り）が撮影対象か</t>
    </r>
  </si>
  <si>
    <t xml:space="preserve">脚本に赤字で残っているが、現行表にない</t>
  </si>
  <si>
    <r>
      <rPr>
        <sz val="10"/>
        <rFont val="Arial"/>
        <family val="0"/>
        <charset val="1"/>
      </rPr>
      <t xml:space="preserve">S1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S21</t>
    </r>
    <r>
      <rPr>
        <sz val="10"/>
        <rFont val="WenQuanYi Zen Hei"/>
        <family val="2"/>
      </rPr>
      <t xml:space="preserve">の場所：脚本は砂浜・通り、現行表は防波堤</t>
    </r>
  </si>
  <si>
    <t xml:space="preserve">場所が違うと移動時間・画が変わる</t>
  </si>
  <si>
    <t xml:space="preserve">監督・制作</t>
  </si>
  <si>
    <r>
      <rPr>
        <sz val="10"/>
        <rFont val="Arial"/>
        <family val="0"/>
        <charset val="1"/>
      </rPr>
      <t xml:space="preserve">S19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S22</t>
    </r>
    <r>
      <rPr>
        <sz val="10"/>
        <rFont val="WenQuanYi Zen Hei"/>
        <family val="2"/>
      </rPr>
      <t xml:space="preserve">の構図数</t>
    </r>
  </si>
  <si>
    <r>
      <rPr>
        <sz val="10"/>
        <rFont val="WenQuanYi Zen Hei"/>
        <family val="2"/>
      </rPr>
      <t xml:space="preserve">構図マーカーがない。仮に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で計算</t>
    </r>
  </si>
  <si>
    <t xml:space="preserve">監督・撮影</t>
  </si>
  <si>
    <t xml:space="preserve">10/27</t>
  </si>
  <si>
    <t xml:space="preserve">エキストラ②の人数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</si>
  <si>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人と仮置き。係数が変わる</t>
    </r>
  </si>
  <si>
    <t xml:space="preserve">制作</t>
  </si>
  <si>
    <r>
      <rPr>
        <sz val="10"/>
        <rFont val="WenQuanYi Zen Hei"/>
        <family val="2"/>
      </rPr>
      <t xml:space="preserve">エキストラ①の人数（脚本は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名ほど）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</si>
  <si>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人で計算</t>
    </r>
  </si>
  <si>
    <t xml:space="preserve">ロケ地の正確な日没時刻</t>
  </si>
  <si>
    <r>
      <rPr>
        <sz val="10"/>
        <rFont val="WenQuanYi Zen Hei"/>
        <family val="2"/>
      </rPr>
      <t xml:space="preserve">現行表の</t>
    </r>
    <r>
      <rPr>
        <sz val="10"/>
        <rFont val="Arial"/>
        <family val="0"/>
        <charset val="1"/>
      </rPr>
      <t xml:space="preserve">17:08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11/7</t>
    </r>
    <r>
      <rPr>
        <sz val="10"/>
        <rFont val="WenQuanYi Zen Hei"/>
        <family val="2"/>
      </rPr>
      <t xml:space="preserve">）を使用。ロケ地の経度で数分変わる</t>
    </r>
  </si>
  <si>
    <t xml:space="preserve">10/29</t>
  </si>
  <si>
    <r>
      <rPr>
        <sz val="10"/>
        <rFont val="WenQuanYi Zen Hei"/>
        <family val="2"/>
      </rPr>
      <t xml:space="preserve">雨天時の予備日（</t>
    </r>
    <r>
      <rPr>
        <sz val="10"/>
        <rFont val="Arial"/>
        <family val="0"/>
        <charset val="1"/>
      </rPr>
      <t xml:space="preserve">DAY1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</si>
  <si>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予備日は</t>
    </r>
    <r>
      <rPr>
        <sz val="10"/>
        <rFont val="Arial"/>
        <family val="0"/>
        <charset val="1"/>
      </rPr>
      <t xml:space="preserve">11/8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DAY4</t>
    </r>
    <r>
      <rPr>
        <sz val="10"/>
        <rFont val="WenQuanYi Zen Hei"/>
        <family val="2"/>
      </rPr>
      <t xml:space="preserve">用）だけ。</t>
    </r>
    <r>
      <rPr>
        <sz val="10"/>
        <rFont val="Arial"/>
        <family val="0"/>
        <charset val="1"/>
      </rPr>
      <t xml:space="preserve">DAY1</t>
    </r>
    <r>
      <rPr>
        <sz val="10"/>
        <rFont val="WenQuanYi Zen Hei"/>
        <family val="2"/>
      </rPr>
      <t xml:space="preserve">は屋外が多くエキストラも多い</t>
    </r>
  </si>
  <si>
    <t xml:space="preserve">制作・学校</t>
  </si>
  <si>
    <r>
      <rPr>
        <sz val="10"/>
        <rFont val="WenQuanYi Zen Hei"/>
        <family val="2"/>
      </rPr>
      <t xml:space="preserve">学校の使用許可の時間帯（</t>
    </r>
    <r>
      <rPr>
        <sz val="10"/>
        <rFont val="Arial"/>
        <family val="0"/>
        <charset val="1"/>
      </rPr>
      <t xml:space="preserve">11/3</t>
    </r>
    <r>
      <rPr>
        <sz val="10"/>
        <rFont val="WenQuanYi Zen Hei"/>
        <family val="2"/>
      </rPr>
      <t xml:space="preserve">は</t>
    </r>
    <r>
      <rPr>
        <sz val="10"/>
        <rFont val="Arial"/>
        <family val="0"/>
        <charset val="1"/>
      </rPr>
      <t xml:space="preserve">7:30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17:30</t>
    </r>
    <r>
      <rPr>
        <sz val="10"/>
        <rFont val="WenQuanYi Zen Hei"/>
        <family val="2"/>
      </rPr>
      <t xml:space="preserve">まで使えるか）</t>
    </r>
  </si>
  <si>
    <r>
      <rPr>
        <sz val="10"/>
        <rFont val="Arial"/>
        <family val="0"/>
        <charset val="1"/>
      </rPr>
      <t xml:space="preserve">DAY3</t>
    </r>
    <r>
      <rPr>
        <sz val="10"/>
        <rFont val="WenQuanYi Zen Hei"/>
        <family val="2"/>
      </rPr>
      <t xml:space="preserve">の集合が早く、終わりが日没後</t>
    </r>
  </si>
  <si>
    <t xml:space="preserve">子役の拘束時間のルール（労基法の適用・保護者との約束）</t>
  </si>
  <si>
    <r>
      <rPr>
        <sz val="10"/>
        <rFont val="Arial"/>
        <family val="0"/>
        <charset val="1"/>
      </rPr>
      <t xml:space="preserve">DAY3</t>
    </r>
    <r>
      <rPr>
        <sz val="10"/>
        <rFont val="WenQuanYi Zen Hei"/>
        <family val="2"/>
      </rPr>
      <t xml:space="preserve">はリョウ・チハルが約</t>
    </r>
    <r>
      <rPr>
        <sz val="10"/>
        <rFont val="Arial"/>
        <family val="0"/>
        <charset val="1"/>
      </rPr>
      <t xml:space="preserve">8.5</t>
    </r>
    <r>
      <rPr>
        <sz val="10"/>
        <rFont val="WenQuanYi Zen Hei"/>
        <family val="2"/>
      </rPr>
      <t xml:space="preserve">時間の実働</t>
    </r>
  </si>
  <si>
    <t xml:space="preserve">制作・保護者</t>
  </si>
  <si>
    <r>
      <rPr>
        <sz val="10"/>
        <rFont val="Arial"/>
        <family val="0"/>
        <charset val="1"/>
      </rPr>
      <t xml:space="preserve">S16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11/3</t>
    </r>
    <r>
      <rPr>
        <sz val="10"/>
        <rFont val="WenQuanYi Zen Hei"/>
        <family val="2"/>
      </rPr>
      <t xml:space="preserve">）の背景に「遊んでいる生徒」を入れるか</t>
    </r>
  </si>
  <si>
    <r>
      <rPr>
        <sz val="10"/>
        <rFont val="Arial"/>
        <family val="0"/>
        <charset val="1"/>
      </rPr>
      <t xml:space="preserve">11/3</t>
    </r>
    <r>
      <rPr>
        <sz val="10"/>
        <rFont val="WenQuanYi Zen Hei"/>
        <family val="2"/>
      </rPr>
      <t xml:space="preserve">はエキストラなし。</t>
    </r>
    <r>
      <rPr>
        <sz val="10"/>
        <rFont val="Arial"/>
        <family val="0"/>
        <charset val="1"/>
      </rPr>
      <t xml:space="preserve">100mm</t>
    </r>
    <r>
      <rPr>
        <sz val="10"/>
        <rFont val="WenQuanYi Zen Hei"/>
        <family val="2"/>
      </rPr>
      <t xml:space="preserve">望遠だと背景が空っぽに見える</t>
    </r>
  </si>
  <si>
    <r>
      <rPr>
        <sz val="10"/>
        <rFont val="Arial"/>
        <family val="0"/>
        <charset val="1"/>
      </rPr>
      <t xml:space="preserve">S12</t>
    </r>
    <r>
      <rPr>
        <sz val="10"/>
        <rFont val="WenQuanYi Zen Hei"/>
        <family val="2"/>
      </rPr>
      <t xml:space="preserve">の「男の子の声」、</t>
    </r>
    <r>
      <rPr>
        <sz val="10"/>
        <rFont val="Arial"/>
        <family val="0"/>
        <charset val="1"/>
      </rPr>
      <t xml:space="preserve">S9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S16</t>
    </r>
    <r>
      <rPr>
        <sz val="10"/>
        <rFont val="WenQuanYi Zen Hei"/>
        <family val="2"/>
      </rPr>
      <t xml:space="preserve">のチャイムの録り方</t>
    </r>
  </si>
  <si>
    <t xml:space="preserve">現行表に別録りの時間がない</t>
  </si>
  <si>
    <t xml:space="preserve">録音</t>
  </si>
  <si>
    <r>
      <rPr>
        <sz val="10"/>
        <rFont val="WenQuanYi Zen Hei"/>
        <family val="2"/>
      </rPr>
      <t xml:space="preserve">ピンマイクを付ける人の範囲（男子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人・野口・綾瀬）</t>
    </r>
  </si>
  <si>
    <t xml:space="preserve">装着時間の見積もりが変わる</t>
  </si>
  <si>
    <t xml:space="preserve">教室の時計を動かせるか、黒板を使ってよいか</t>
  </si>
  <si>
    <r>
      <rPr>
        <sz val="10"/>
        <rFont val="Arial"/>
        <family val="0"/>
        <charset val="1"/>
      </rPr>
      <t xml:space="preserve">S5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S18</t>
    </r>
    <r>
      <rPr>
        <sz val="10"/>
        <rFont val="WenQuanYi Zen Hei"/>
        <family val="2"/>
      </rPr>
      <t xml:space="preserve">で時刻と黒板の内容が変わる</t>
    </r>
  </si>
  <si>
    <t xml:space="preserve">犬（パンチ）の拘束可能時間と、飼い主の同行</t>
  </si>
  <si>
    <r>
      <rPr>
        <sz val="10"/>
        <rFont val="Arial"/>
        <family val="0"/>
        <charset val="1"/>
      </rPr>
      <t xml:space="preserve">S2</t>
    </r>
    <r>
      <rPr>
        <sz val="10"/>
        <rFont val="WenQuanYi Zen Hei"/>
        <family val="2"/>
      </rPr>
      <t xml:space="preserve">は構図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・犬の芝居が多い</t>
    </r>
  </si>
  <si>
    <r>
      <rPr>
        <sz val="10"/>
        <rFont val="Arial"/>
        <family val="0"/>
        <charset val="1"/>
      </rPr>
      <t xml:space="preserve">S15</t>
    </r>
    <r>
      <rPr>
        <sz val="10"/>
        <rFont val="WenQuanYi Zen Hei"/>
        <family val="2"/>
      </rPr>
      <t xml:space="preserve">のシュートは「決まるまで撮る」か、別撮り（インサート）で処理するか</t>
    </r>
  </si>
  <si>
    <r>
      <rPr>
        <sz val="10"/>
        <rFont val="WenQuanYi Zen Hei"/>
        <family val="2"/>
      </rPr>
      <t xml:space="preserve">アクション成功係数</t>
    </r>
    <r>
      <rPr>
        <sz val="10"/>
        <rFont val="Arial"/>
        <family val="0"/>
        <charset val="1"/>
      </rPr>
      <t xml:space="preserve">1.3</t>
    </r>
    <r>
      <rPr>
        <sz val="10"/>
        <rFont val="WenQuanYi Zen Hei"/>
        <family val="2"/>
      </rPr>
      <t xml:space="preserve">の根拠</t>
    </r>
  </si>
  <si>
    <r>
      <rPr>
        <sz val="10"/>
        <rFont val="WenQuanYi Zen Hei"/>
        <family val="2"/>
      </rPr>
      <t xml:space="preserve">体育館の天井通路（</t>
    </r>
    <r>
      <rPr>
        <sz val="10"/>
        <rFont val="Arial"/>
        <family val="0"/>
        <charset val="1"/>
      </rPr>
      <t xml:space="preserve">S15</t>
    </r>
    <r>
      <rPr>
        <sz val="10"/>
        <rFont val="WenQuanYi Zen Hei"/>
        <family val="2"/>
      </rPr>
      <t xml:space="preserve">構図</t>
    </r>
    <r>
      <rPr>
        <sz val="10"/>
        <rFont val="Arial"/>
        <family val="0"/>
        <charset val="1"/>
      </rPr>
      <t xml:space="preserve">G</t>
    </r>
    <r>
      <rPr>
        <sz val="10"/>
        <rFont val="WenQuanYi Zen Hei"/>
        <family val="2"/>
      </rPr>
      <t xml:space="preserve">）に上がってよいか</t>
    </r>
  </si>
  <si>
    <t xml:space="preserve">安全・許可。だめなら構図変更</t>
  </si>
  <si>
    <r>
      <rPr>
        <sz val="10"/>
        <rFont val="WenQuanYi Zen Hei"/>
        <family val="2"/>
      </rPr>
      <t xml:space="preserve">野口先生役の方が</t>
    </r>
    <r>
      <rPr>
        <sz val="10"/>
        <rFont val="Arial"/>
        <family val="0"/>
        <charset val="1"/>
      </rPr>
      <t xml:space="preserve">11/1</t>
    </r>
    <r>
      <rPr>
        <sz val="10"/>
        <rFont val="WenQuanYi Zen Hei"/>
        <family val="2"/>
      </rPr>
      <t xml:space="preserve">に何時まで居られるか、</t>
    </r>
    <r>
      <rPr>
        <sz val="10"/>
        <rFont val="Arial"/>
        <family val="0"/>
        <charset val="1"/>
      </rPr>
      <t xml:space="preserve">11/8</t>
    </r>
    <r>
      <rPr>
        <sz val="10"/>
        <rFont val="WenQuanYi Zen Hei"/>
        <family val="2"/>
      </rPr>
      <t xml:space="preserve">に来られるか</t>
    </r>
  </si>
  <si>
    <r>
      <rPr>
        <sz val="10"/>
        <rFont val="Arial"/>
        <family val="0"/>
        <charset val="1"/>
      </rPr>
      <t xml:space="preserve">11/1</t>
    </r>
    <r>
      <rPr>
        <sz val="10"/>
        <rFont val="WenQuanYi Zen Hei"/>
        <family val="2"/>
      </rPr>
      <t xml:space="preserve">が唯一の出番日。予備がない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</si>
</sst>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"/>
    <numFmt numFmtId="166" formatCode="0.00"/>
    <numFmt numFmtId="167" formatCode="0"/>
    <numFmt numFmtId="168" formatCode="h:mm"/>
    <numFmt numFmtId="169" formatCode="General"/>
    <numFmt numFmtId="170" formatCode="0%"/>
    <numFmt numFmtId="171" formatCode="\×0.00"/>
    <numFmt numFmtId="172" formatCode="\×0.00&quot;の終了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2"/>
      <name val="WenQuanYi Zen Hei"/>
      <family val="2"/>
    </font>
    <font>
      <sz val="11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WenQuanYi Zen Hei"/>
      <family val="2"/>
    </font>
    <font>
      <sz val="10"/>
      <color rgb="FF0000FF"/>
      <name val="WenQuanYi Zen Hei"/>
      <family val="2"/>
    </font>
    <font>
      <b val="true"/>
      <sz val="1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4EE"/>
        <bgColor rgb="FFCDEBD5"/>
      </patternFill>
    </fill>
    <fill>
      <patternFill patternType="solid">
        <fgColor rgb="FFFFF2A8"/>
        <bgColor rgb="FFFBE0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4B6B6"/>
        </patternFill>
      </fill>
    </dxf>
    <dxf>
      <fill>
        <patternFill>
          <bgColor rgb="FFFBE0A8"/>
        </patternFill>
      </fill>
    </dxf>
    <dxf>
      <fill>
        <patternFill>
          <bgColor rgb="FFCDEBD5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5"/>
      <rgbColor rgb="FFFFF2A8"/>
      <rgbColor rgb="FF99CCFF"/>
      <rgbColor rgb="FFF4B6B6"/>
      <rgbColor rgb="FFCC99FF"/>
      <rgbColor rgb="FFFBE0A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4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4.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/>
    </row>
    <row r="8" customFormat="false" ht="14.15" hidden="false" customHeight="false" outlineLevel="0" collapsed="false">
      <c r="A8" s="1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2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1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1" t="s">
        <v>15</v>
      </c>
    </row>
    <row r="21" customFormat="false" ht="14.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4.15" hidden="false" customHeight="false" outlineLevel="0" collapsed="false">
      <c r="A23" s="3" t="s">
        <v>18</v>
      </c>
    </row>
    <row r="24" customFormat="false" ht="14.15" hidden="false" customHeight="false" outlineLevel="0" collapsed="false">
      <c r="A2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4" t="s">
        <v>20</v>
      </c>
      <c r="B1" s="5"/>
      <c r="C1" s="5"/>
      <c r="D1" s="5"/>
      <c r="E1" s="5"/>
    </row>
    <row r="2" customFormat="false" ht="15" hidden="false" customHeight="false" outlineLevel="0" collapsed="false">
      <c r="A2" s="5"/>
      <c r="B2" s="5"/>
      <c r="C2" s="5"/>
      <c r="D2" s="5"/>
      <c r="E2" s="5"/>
    </row>
    <row r="3" customFormat="false" ht="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</row>
    <row r="4" customFormat="false" ht="15" hidden="false" customHeight="false" outlineLevel="0" collapsed="false">
      <c r="A4" s="7" t="s">
        <v>26</v>
      </c>
      <c r="B4" s="8" t="n">
        <v>2</v>
      </c>
      <c r="C4" s="8" t="n">
        <v>3</v>
      </c>
      <c r="D4" s="8" t="n">
        <v>3.5</v>
      </c>
      <c r="E4" s="7" t="s">
        <v>27</v>
      </c>
    </row>
    <row r="5" customFormat="false" ht="15" hidden="false" customHeight="false" outlineLevel="0" collapsed="false">
      <c r="A5" s="7" t="s">
        <v>28</v>
      </c>
      <c r="B5" s="8" t="n">
        <v>1</v>
      </c>
      <c r="C5" s="8" t="n">
        <v>1.5</v>
      </c>
      <c r="D5" s="8" t="n">
        <v>2</v>
      </c>
      <c r="E5" s="7" t="s">
        <v>29</v>
      </c>
    </row>
    <row r="6" customFormat="false" ht="15" hidden="false" customHeight="false" outlineLevel="0" collapsed="false">
      <c r="A6" s="7" t="s">
        <v>30</v>
      </c>
      <c r="B6" s="8" t="n">
        <v>0.5</v>
      </c>
      <c r="C6" s="8" t="n">
        <v>0.8</v>
      </c>
      <c r="D6" s="8" t="n">
        <v>1.2</v>
      </c>
      <c r="E6" s="7" t="s">
        <v>31</v>
      </c>
    </row>
    <row r="7" customFormat="false" ht="15" hidden="false" customHeight="false" outlineLevel="0" collapsed="false">
      <c r="A7" s="7" t="s">
        <v>32</v>
      </c>
      <c r="B7" s="8" t="n">
        <v>1.5</v>
      </c>
      <c r="C7" s="8" t="n">
        <v>2.5</v>
      </c>
      <c r="D7" s="8" t="n">
        <v>4</v>
      </c>
      <c r="E7" s="7" t="s">
        <v>33</v>
      </c>
    </row>
    <row r="8" customFormat="false" ht="15" hidden="false" customHeight="false" outlineLevel="0" collapsed="false">
      <c r="A8" s="7" t="s">
        <v>34</v>
      </c>
      <c r="B8" s="8" t="n">
        <v>4</v>
      </c>
      <c r="C8" s="8" t="n">
        <v>6</v>
      </c>
      <c r="D8" s="8" t="n">
        <v>8</v>
      </c>
      <c r="E8" s="7" t="s">
        <v>35</v>
      </c>
    </row>
    <row r="9" customFormat="false" ht="15" hidden="false" customHeight="false" outlineLevel="0" collapsed="false">
      <c r="A9" s="7" t="s">
        <v>36</v>
      </c>
      <c r="B9" s="8" t="n">
        <v>2</v>
      </c>
      <c r="C9" s="8" t="n">
        <v>4</v>
      </c>
      <c r="D9" s="8" t="n">
        <v>6</v>
      </c>
      <c r="E9" s="7" t="s">
        <v>37</v>
      </c>
    </row>
    <row r="10" customFormat="false" ht="15" hidden="false" customHeight="false" outlineLevel="0" collapsed="false">
      <c r="A10" s="9" t="s">
        <v>38</v>
      </c>
      <c r="B10" s="8" t="n">
        <v>12</v>
      </c>
      <c r="C10" s="8" t="n">
        <v>20</v>
      </c>
      <c r="D10" s="8" t="n">
        <v>30</v>
      </c>
      <c r="E10" s="7" t="s">
        <v>39</v>
      </c>
    </row>
    <row r="11" customFormat="false" ht="15" hidden="false" customHeight="false" outlineLevel="0" collapsed="false">
      <c r="A11" s="9" t="s">
        <v>40</v>
      </c>
      <c r="B11" s="8" t="n">
        <v>8</v>
      </c>
      <c r="C11" s="8" t="n">
        <v>12</v>
      </c>
      <c r="D11" s="8" t="n">
        <v>18</v>
      </c>
      <c r="E11" s="7" t="s">
        <v>41</v>
      </c>
    </row>
    <row r="12" customFormat="false" ht="15" hidden="false" customHeight="false" outlineLevel="0" collapsed="false">
      <c r="A12" s="9" t="s">
        <v>42</v>
      </c>
      <c r="B12" s="8" t="n">
        <v>3</v>
      </c>
      <c r="C12" s="8" t="n">
        <v>5</v>
      </c>
      <c r="D12" s="8" t="n">
        <v>8</v>
      </c>
      <c r="E12" s="7" t="s">
        <v>43</v>
      </c>
    </row>
    <row r="13" customFormat="false" ht="15" hidden="false" customHeight="false" outlineLevel="0" collapsed="false">
      <c r="A13" s="7" t="s">
        <v>44</v>
      </c>
      <c r="B13" s="8" t="n">
        <v>0.5</v>
      </c>
      <c r="C13" s="8" t="n">
        <v>0.5</v>
      </c>
      <c r="D13" s="8" t="n">
        <v>0.5</v>
      </c>
      <c r="E13" s="7" t="s">
        <v>45</v>
      </c>
    </row>
    <row r="14" customFormat="false" ht="15" hidden="false" customHeight="false" outlineLevel="0" collapsed="false">
      <c r="A14" s="7" t="s">
        <v>46</v>
      </c>
      <c r="B14" s="8" t="n">
        <v>2</v>
      </c>
      <c r="C14" s="8" t="n">
        <v>3</v>
      </c>
      <c r="D14" s="8" t="n">
        <v>5</v>
      </c>
      <c r="E14" s="7" t="s">
        <v>47</v>
      </c>
    </row>
    <row r="15" customFormat="false" ht="15" hidden="false" customHeight="false" outlineLevel="0" collapsed="false">
      <c r="A15" s="5"/>
      <c r="B15" s="5"/>
      <c r="C15" s="5"/>
      <c r="D15" s="5"/>
      <c r="E15" s="5"/>
    </row>
    <row r="16" customFormat="false" ht="15" hidden="false" customHeight="false" outlineLevel="0" collapsed="false">
      <c r="A16" s="5"/>
      <c r="B16" s="5"/>
      <c r="C16" s="5"/>
      <c r="D16" s="5"/>
      <c r="E16" s="5"/>
    </row>
    <row r="17" customFormat="false" ht="15" hidden="false" customHeight="false" outlineLevel="0" collapsed="false">
      <c r="A17" s="4" t="s">
        <v>48</v>
      </c>
      <c r="B17" s="5"/>
      <c r="C17" s="5"/>
      <c r="D17" s="5"/>
      <c r="E17" s="5"/>
    </row>
    <row r="18" customFormat="false" ht="15" hidden="false" customHeight="false" outlineLevel="0" collapsed="false">
      <c r="A18" s="6" t="s">
        <v>49</v>
      </c>
      <c r="B18" s="6" t="s">
        <v>50</v>
      </c>
      <c r="C18" s="6"/>
      <c r="D18" s="6"/>
      <c r="E18" s="6" t="s">
        <v>51</v>
      </c>
    </row>
    <row r="19" customFormat="false" ht="15" hidden="false" customHeight="false" outlineLevel="0" collapsed="false">
      <c r="A19" s="10" t="n">
        <v>0</v>
      </c>
      <c r="B19" s="8" t="n">
        <v>1</v>
      </c>
      <c r="C19" s="5"/>
      <c r="D19" s="5"/>
      <c r="E19" s="5"/>
    </row>
    <row r="20" customFormat="false" ht="15" hidden="false" customHeight="false" outlineLevel="0" collapsed="false">
      <c r="A20" s="10" t="n">
        <v>1</v>
      </c>
      <c r="B20" s="8" t="n">
        <v>1.1</v>
      </c>
      <c r="C20" s="5"/>
      <c r="D20" s="5"/>
      <c r="E20" s="5"/>
    </row>
    <row r="21" customFormat="false" ht="15" hidden="false" customHeight="false" outlineLevel="0" collapsed="false">
      <c r="A21" s="10" t="n">
        <v>2</v>
      </c>
      <c r="B21" s="8" t="n">
        <v>1.2</v>
      </c>
      <c r="C21" s="5"/>
      <c r="D21" s="5"/>
      <c r="E21" s="5"/>
    </row>
    <row r="22" customFormat="false" ht="15" hidden="false" customHeight="false" outlineLevel="0" collapsed="false">
      <c r="A22" s="10" t="n">
        <v>3</v>
      </c>
      <c r="B22" s="8" t="n">
        <v>1.3</v>
      </c>
      <c r="C22" s="5"/>
      <c r="D22" s="5"/>
      <c r="E22" s="11" t="s">
        <v>52</v>
      </c>
    </row>
    <row r="23" customFormat="false" ht="15" hidden="false" customHeight="false" outlineLevel="0" collapsed="false">
      <c r="A23" s="5"/>
      <c r="B23" s="5"/>
      <c r="C23" s="5"/>
      <c r="D23" s="5"/>
      <c r="E23" s="5"/>
    </row>
    <row r="24" customFormat="false" ht="15" hidden="false" customHeight="false" outlineLevel="0" collapsed="false">
      <c r="A24" s="6" t="s">
        <v>53</v>
      </c>
      <c r="B24" s="6" t="s">
        <v>50</v>
      </c>
      <c r="C24" s="6"/>
      <c r="D24" s="6"/>
      <c r="E24" s="6" t="s">
        <v>51</v>
      </c>
    </row>
    <row r="25" customFormat="false" ht="15" hidden="false" customHeight="false" outlineLevel="0" collapsed="false">
      <c r="A25" s="10" t="n">
        <v>0</v>
      </c>
      <c r="B25" s="8" t="n">
        <v>1</v>
      </c>
      <c r="C25" s="5"/>
      <c r="D25" s="5"/>
      <c r="E25" s="11" t="s">
        <v>54</v>
      </c>
    </row>
    <row r="26" customFormat="false" ht="15" hidden="false" customHeight="false" outlineLevel="0" collapsed="false">
      <c r="A26" s="10" t="n">
        <v>1</v>
      </c>
      <c r="B26" s="8" t="n">
        <v>1.1</v>
      </c>
      <c r="C26" s="5"/>
      <c r="D26" s="5"/>
      <c r="E26" s="11" t="s">
        <v>55</v>
      </c>
    </row>
    <row r="27" customFormat="false" ht="15" hidden="false" customHeight="false" outlineLevel="0" collapsed="false">
      <c r="A27" s="10" t="n">
        <v>6</v>
      </c>
      <c r="B27" s="8" t="n">
        <v>1.25</v>
      </c>
      <c r="C27" s="5"/>
      <c r="D27" s="5"/>
      <c r="E27" s="11" t="s">
        <v>56</v>
      </c>
    </row>
    <row r="28" customFormat="false" ht="15" hidden="false" customHeight="false" outlineLevel="0" collapsed="false">
      <c r="A28" s="10" t="n">
        <v>16</v>
      </c>
      <c r="B28" s="8" t="n">
        <v>1.4</v>
      </c>
      <c r="C28" s="5"/>
      <c r="D28" s="5"/>
      <c r="E28" s="11" t="s">
        <v>57</v>
      </c>
    </row>
    <row r="29" customFormat="false" ht="15" hidden="false" customHeight="false" outlineLevel="0" collapsed="false">
      <c r="A29" s="5"/>
      <c r="B29" s="5"/>
      <c r="C29" s="5"/>
      <c r="D29" s="5"/>
      <c r="E29" s="5"/>
    </row>
    <row r="30" customFormat="false" ht="15" hidden="false" customHeight="false" outlineLevel="0" collapsed="false">
      <c r="A30" s="6" t="s">
        <v>58</v>
      </c>
      <c r="B30" s="6" t="s">
        <v>50</v>
      </c>
      <c r="C30" s="6"/>
      <c r="D30" s="6"/>
      <c r="E30" s="6" t="s">
        <v>51</v>
      </c>
    </row>
    <row r="31" customFormat="false" ht="15" hidden="false" customHeight="false" outlineLevel="0" collapsed="false">
      <c r="A31" s="7" t="s">
        <v>59</v>
      </c>
      <c r="B31" s="8" t="n">
        <v>1.5</v>
      </c>
      <c r="C31" s="5"/>
      <c r="D31" s="5"/>
      <c r="E31" s="11" t="s">
        <v>60</v>
      </c>
    </row>
    <row r="32" customFormat="false" ht="15" hidden="false" customHeight="false" outlineLevel="0" collapsed="false">
      <c r="A32" s="7" t="s">
        <v>61</v>
      </c>
      <c r="B32" s="8" t="n">
        <v>1.3</v>
      </c>
      <c r="C32" s="5"/>
      <c r="D32" s="5"/>
      <c r="E32" s="7" t="s">
        <v>62</v>
      </c>
    </row>
    <row r="33" customFormat="false" ht="15" hidden="false" customHeight="false" outlineLevel="0" collapsed="false">
      <c r="A33" s="5"/>
      <c r="B33" s="5"/>
      <c r="C33" s="5"/>
      <c r="D33" s="5"/>
      <c r="E33" s="5"/>
    </row>
    <row r="34" customFormat="false" ht="15" hidden="false" customHeight="false" outlineLevel="0" collapsed="false">
      <c r="A34" s="7" t="s">
        <v>63</v>
      </c>
      <c r="B34" s="10" t="n">
        <v>420</v>
      </c>
      <c r="C34" s="5"/>
      <c r="D34" s="5"/>
      <c r="E34" s="7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7"/>
    <col collapsed="false" customWidth="true" hidden="false" outlineLevel="0" max="4" min="4" style="0" width="24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19" min="7" style="0" width="8"/>
    <col collapsed="false" customWidth="true" hidden="false" outlineLevel="0" max="20" min="20" style="0" width="26"/>
    <col collapsed="false" customWidth="true" hidden="false" outlineLevel="0" max="21" min="21" style="0" width="60"/>
    <col collapsed="false" customWidth="true" hidden="false" outlineLevel="0" max="35" min="22" style="0" width="8"/>
    <col collapsed="false" customWidth="true" hidden="false" outlineLevel="0" max="36" min="36" style="0" width="10"/>
    <col collapsed="false" customWidth="true" hidden="false" outlineLevel="0" max="39" min="37" style="0" width="8"/>
  </cols>
  <sheetData>
    <row r="1" customFormat="false" ht="15" hidden="false" customHeight="false" outlineLevel="0" collapsed="false">
      <c r="A1" s="4" t="s">
        <v>65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customFormat="false" ht="15" hidden="false" customHeight="false" outlineLevel="0" collapsed="false">
      <c r="A2" s="12" t="s">
        <v>66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customFormat="false" ht="45" hidden="false" customHeight="true" outlineLevel="0" collapsed="false">
      <c r="A3" s="13" t="s">
        <v>67</v>
      </c>
      <c r="B3" s="6" t="s">
        <v>68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74</v>
      </c>
      <c r="I3" s="6" t="s">
        <v>75</v>
      </c>
      <c r="J3" s="6" t="s">
        <v>76</v>
      </c>
      <c r="K3" s="6" t="s">
        <v>77</v>
      </c>
      <c r="L3" s="6" t="s">
        <v>78</v>
      </c>
      <c r="M3" s="6" t="s">
        <v>79</v>
      </c>
      <c r="N3" s="6" t="s">
        <v>80</v>
      </c>
      <c r="O3" s="6" t="s">
        <v>81</v>
      </c>
      <c r="P3" s="6" t="s">
        <v>82</v>
      </c>
      <c r="Q3" s="6" t="s">
        <v>83</v>
      </c>
      <c r="R3" s="6" t="s">
        <v>84</v>
      </c>
      <c r="S3" s="6" t="s">
        <v>85</v>
      </c>
      <c r="T3" s="6" t="s">
        <v>86</v>
      </c>
      <c r="U3" s="6" t="s">
        <v>87</v>
      </c>
      <c r="V3" s="6" t="s">
        <v>88</v>
      </c>
      <c r="W3" s="6" t="s">
        <v>89</v>
      </c>
      <c r="X3" s="6" t="s">
        <v>90</v>
      </c>
      <c r="Y3" s="6" t="s">
        <v>91</v>
      </c>
      <c r="Z3" s="6" t="s">
        <v>92</v>
      </c>
      <c r="AA3" s="6" t="s">
        <v>93</v>
      </c>
      <c r="AB3" s="6" t="s">
        <v>94</v>
      </c>
      <c r="AC3" s="6" t="s">
        <v>95</v>
      </c>
      <c r="AD3" s="6" t="s">
        <v>96</v>
      </c>
      <c r="AE3" s="6" t="s">
        <v>97</v>
      </c>
      <c r="AF3" s="6" t="s">
        <v>98</v>
      </c>
      <c r="AG3" s="6" t="s">
        <v>99</v>
      </c>
      <c r="AH3" s="6" t="s">
        <v>100</v>
      </c>
      <c r="AI3" s="6" t="s">
        <v>101</v>
      </c>
      <c r="AJ3" s="6" t="s">
        <v>102</v>
      </c>
      <c r="AK3" s="6" t="s">
        <v>103</v>
      </c>
      <c r="AL3" s="6" t="s">
        <v>104</v>
      </c>
      <c r="AM3" s="6" t="s">
        <v>105</v>
      </c>
    </row>
    <row r="4" customFormat="false" ht="15" hidden="false" customHeight="false" outlineLevel="0" collapsed="false">
      <c r="A4" s="11" t="s">
        <v>106</v>
      </c>
      <c r="B4" s="14" t="n">
        <v>46326</v>
      </c>
      <c r="C4" s="11" t="s">
        <v>107</v>
      </c>
      <c r="D4" s="7" t="s">
        <v>108</v>
      </c>
      <c r="E4" s="7" t="s">
        <v>109</v>
      </c>
      <c r="F4" s="7" t="s">
        <v>110</v>
      </c>
      <c r="G4" s="10" t="n">
        <v>30</v>
      </c>
      <c r="H4" s="10" t="n">
        <v>3</v>
      </c>
      <c r="I4" s="10" t="n">
        <v>5</v>
      </c>
      <c r="J4" s="10" t="n">
        <v>2</v>
      </c>
      <c r="K4" s="10" t="n">
        <v>1</v>
      </c>
      <c r="L4" s="10" t="n">
        <v>0</v>
      </c>
      <c r="M4" s="8" t="n">
        <v>10</v>
      </c>
      <c r="N4" s="10" t="n">
        <v>2</v>
      </c>
      <c r="O4" s="10" t="n">
        <v>0</v>
      </c>
      <c r="P4" s="10" t="n">
        <v>0</v>
      </c>
      <c r="Q4" s="10" t="n">
        <v>0</v>
      </c>
      <c r="R4" s="15" t="s">
        <v>40</v>
      </c>
      <c r="S4" s="10" t="n">
        <v>20</v>
      </c>
      <c r="T4" s="7" t="s">
        <v>111</v>
      </c>
      <c r="U4" s="7" t="s">
        <v>112</v>
      </c>
      <c r="V4" s="16" t="n">
        <f aca="false">VLOOKUP(MIN(J4,3),係数!$A$19:$B$22,2,TRUE())*IF(L4=1,係数!$B$31,1)*VLOOKUP(M4,係数!$A$25:$B$28,2,TRUE())*IF(P4=1,係数!$B$32,1)</f>
        <v>1.5</v>
      </c>
      <c r="W4" s="17" t="n">
        <f aca="false">INDEX(係数!$B$10:$B$12,MATCH(R4,係数!$A$10:$A$12,0))</f>
        <v>8</v>
      </c>
      <c r="X4" s="17" t="n">
        <f aca="false">H4*(係数!$B$5+係数!$B$4*V4*(S4/60+係数!$B$6+Q4*係数!$B$7))+N4*係数!$B$13*係数!$B$4*V4*(S4/60+係数!$B$6+Q4*係数!$B$7)</f>
        <v>13</v>
      </c>
      <c r="Y4" s="17" t="n">
        <f aca="false">MAX(H4-1,0)*係数!$B$8+O4*係数!$B$9</f>
        <v>8</v>
      </c>
      <c r="Z4" s="18" t="n">
        <f aca="false">ROUND((W4+X4+Y4)*AI4,0)</f>
        <v>29</v>
      </c>
      <c r="AA4" s="17" t="n">
        <f aca="false">INDEX(係数!$C$10:$C$12,MATCH(R4,係数!$A$10:$A$12,0))</f>
        <v>12</v>
      </c>
      <c r="AB4" s="17" t="n">
        <f aca="false">H4*(係数!$C$5+係数!$C$4*V4*(S4/60+係数!$C$6+Q4*係数!$C$7))+N4*係数!$C$13*係数!$C$4*V4*(S4/60+係数!$C$6+Q4*係数!$C$7)</f>
        <v>24.9</v>
      </c>
      <c r="AC4" s="17" t="n">
        <f aca="false">MAX(H4-1,0)*係数!$C$8+O4*係数!$C$9</f>
        <v>12</v>
      </c>
      <c r="AD4" s="18" t="n">
        <f aca="false">ROUND((AA4+AB4+AC4)*AI4,0)</f>
        <v>49</v>
      </c>
      <c r="AE4" s="17" t="n">
        <f aca="false">INDEX(係数!$D$10:$D$12,MATCH(R4,係数!$A$10:$A$12,0))</f>
        <v>18</v>
      </c>
      <c r="AF4" s="17" t="n">
        <f aca="false">H4*(係数!$D$5+係数!$D$4*V4*(S4/60+係数!$D$6+Q4*係数!$D$7))+N4*係数!$D$13*係数!$D$4*V4*(S4/60+係数!$D$6+Q4*係数!$D$7)</f>
        <v>38.2</v>
      </c>
      <c r="AG4" s="17" t="n">
        <f aca="false">MAX(H4-1,0)*係数!$D$8+O4*係数!$D$9</f>
        <v>16</v>
      </c>
      <c r="AH4" s="18" t="n">
        <f aca="false">ROUND((AE4+AF4+AG4)*AI4,0)</f>
        <v>72</v>
      </c>
      <c r="AI4" s="19" t="n">
        <v>1</v>
      </c>
      <c r="AJ4" s="7" t="str">
        <f aca="false">IF(G4&gt;=AH4,"余裕あり",IF(G4&gt;=AD4,"適正",IF(G4&gt;=Z4,"ギリギリ","不足")))</f>
        <v>ギリギリ</v>
      </c>
      <c r="AK4" s="11" t="n">
        <f aca="false">G4-AD4</f>
        <v>-19</v>
      </c>
      <c r="AL4" s="20" t="n">
        <v>0.479166666666667</v>
      </c>
      <c r="AM4" s="20" t="n">
        <v>0.5</v>
      </c>
    </row>
    <row r="5" customFormat="false" ht="15" hidden="false" customHeight="false" outlineLevel="0" collapsed="false">
      <c r="A5" s="11" t="s">
        <v>113</v>
      </c>
      <c r="B5" s="14" t="n">
        <v>46326</v>
      </c>
      <c r="C5" s="11" t="s">
        <v>107</v>
      </c>
      <c r="D5" s="7" t="s">
        <v>114</v>
      </c>
      <c r="E5" s="7" t="s">
        <v>115</v>
      </c>
      <c r="F5" s="7" t="s">
        <v>110</v>
      </c>
      <c r="G5" s="10" t="n">
        <v>40</v>
      </c>
      <c r="H5" s="10" t="n">
        <v>1</v>
      </c>
      <c r="I5" s="10" t="n">
        <v>1</v>
      </c>
      <c r="J5" s="10" t="n">
        <v>2</v>
      </c>
      <c r="K5" s="10" t="n">
        <v>0</v>
      </c>
      <c r="L5" s="10" t="n">
        <v>0</v>
      </c>
      <c r="M5" s="8" t="n">
        <v>10</v>
      </c>
      <c r="N5" s="10" t="n">
        <v>1</v>
      </c>
      <c r="O5" s="10" t="n">
        <v>0</v>
      </c>
      <c r="P5" s="10" t="n">
        <v>0</v>
      </c>
      <c r="Q5" s="10" t="n">
        <v>1</v>
      </c>
      <c r="R5" s="15" t="s">
        <v>38</v>
      </c>
      <c r="S5" s="10" t="n">
        <v>40</v>
      </c>
      <c r="T5" s="7" t="s">
        <v>116</v>
      </c>
      <c r="U5" s="7" t="s">
        <v>117</v>
      </c>
      <c r="V5" s="16" t="n">
        <f aca="false">VLOOKUP(MIN(J5,3),係数!$A$19:$B$22,2,TRUE())*IF(L5=1,係数!$B$31,1)*VLOOKUP(M5,係数!$A$25:$B$28,2,TRUE())*IF(P5=1,係数!$B$32,1)</f>
        <v>1.5</v>
      </c>
      <c r="W5" s="17" t="n">
        <f aca="false">INDEX(係数!$B$10:$B$12,MATCH(R5,係数!$A$10:$A$12,0))</f>
        <v>12</v>
      </c>
      <c r="X5" s="17" t="n">
        <f aca="false">H5*(係数!$B$5+係数!$B$4*V5*(S5/60+係数!$B$6+Q5*係数!$B$7))+N5*係数!$B$13*係数!$B$4*V5*(S5/60+係数!$B$6+Q5*係数!$B$7)</f>
        <v>13</v>
      </c>
      <c r="Y5" s="17" t="n">
        <f aca="false">MAX(H5-1,0)*係数!$B$8+O5*係数!$B$9</f>
        <v>0</v>
      </c>
      <c r="Z5" s="18" t="n">
        <f aca="false">ROUND((W5+X5+Y5)*AI5,0)</f>
        <v>25</v>
      </c>
      <c r="AA5" s="17" t="n">
        <f aca="false">INDEX(係数!$C$10:$C$12,MATCH(R5,係数!$A$10:$A$12,0))</f>
        <v>20</v>
      </c>
      <c r="AB5" s="17" t="n">
        <f aca="false">H5*(係数!$C$5+係数!$C$4*V5*(S5/60+係数!$C$6+Q5*係数!$C$7))+N5*係数!$C$13*係数!$C$4*V5*(S5/60+係数!$C$6+Q5*係数!$C$7)</f>
        <v>28.275</v>
      </c>
      <c r="AC5" s="17" t="n">
        <f aca="false">MAX(H5-1,0)*係数!$C$8+O5*係数!$C$9</f>
        <v>0</v>
      </c>
      <c r="AD5" s="18" t="n">
        <f aca="false">ROUND((AA5+AB5+AC5)*AI5,0)</f>
        <v>48</v>
      </c>
      <c r="AE5" s="17" t="n">
        <f aca="false">INDEX(係数!$D$10:$D$12,MATCH(R5,係数!$A$10:$A$12,0))</f>
        <v>30</v>
      </c>
      <c r="AF5" s="17" t="n">
        <f aca="false">H5*(係数!$D$5+係数!$D$4*V5*(S5/60+係数!$D$6+Q5*係数!$D$7))+N5*係数!$D$13*係数!$D$4*V5*(S5/60+係数!$D$6+Q5*係数!$D$7)</f>
        <v>48.2</v>
      </c>
      <c r="AG5" s="17" t="n">
        <f aca="false">MAX(H5-1,0)*係数!$D$8+O5*係数!$D$9</f>
        <v>0</v>
      </c>
      <c r="AH5" s="18" t="n">
        <f aca="false">ROUND((AE5+AF5+AG5)*AI5,0)</f>
        <v>78</v>
      </c>
      <c r="AI5" s="19" t="n">
        <v>1</v>
      </c>
      <c r="AJ5" s="7" t="str">
        <f aca="false">IF(G5&gt;=AH5,"余裕あり",IF(G5&gt;=AD5,"適正",IF(G5&gt;=Z5,"ギリギリ","不足")))</f>
        <v>ギリギリ</v>
      </c>
      <c r="AK5" s="11" t="n">
        <f aca="false">G5-AD5</f>
        <v>-8</v>
      </c>
      <c r="AL5" s="20" t="n">
        <v>0.506944444444444</v>
      </c>
      <c r="AM5" s="20" t="n">
        <v>0.534722222222222</v>
      </c>
    </row>
    <row r="6" customFormat="false" ht="15" hidden="false" customHeight="false" outlineLevel="0" collapsed="false">
      <c r="A6" s="11" t="s">
        <v>118</v>
      </c>
      <c r="B6" s="14" t="n">
        <v>46326</v>
      </c>
      <c r="C6" s="11" t="s">
        <v>107</v>
      </c>
      <c r="D6" s="7" t="s">
        <v>119</v>
      </c>
      <c r="E6" s="7" t="s">
        <v>109</v>
      </c>
      <c r="F6" s="7" t="s">
        <v>120</v>
      </c>
      <c r="G6" s="10" t="n">
        <v>40</v>
      </c>
      <c r="H6" s="10" t="n">
        <v>1</v>
      </c>
      <c r="I6" s="10" t="n">
        <v>0</v>
      </c>
      <c r="J6" s="10" t="n">
        <v>0</v>
      </c>
      <c r="K6" s="10" t="n">
        <v>0</v>
      </c>
      <c r="L6" s="10" t="n">
        <v>0</v>
      </c>
      <c r="M6" s="8" t="n">
        <v>10</v>
      </c>
      <c r="N6" s="10" t="n">
        <v>0</v>
      </c>
      <c r="O6" s="10" t="n">
        <v>0</v>
      </c>
      <c r="P6" s="10" t="n">
        <v>0</v>
      </c>
      <c r="Q6" s="10" t="n">
        <v>0</v>
      </c>
      <c r="R6" s="15" t="s">
        <v>40</v>
      </c>
      <c r="S6" s="10" t="n">
        <v>20</v>
      </c>
      <c r="T6" s="7" t="s">
        <v>121</v>
      </c>
      <c r="U6" s="7" t="s">
        <v>122</v>
      </c>
      <c r="V6" s="16" t="n">
        <f aca="false">VLOOKUP(MIN(J6,3),係数!$A$19:$B$22,2,TRUE())*IF(L6=1,係数!$B$31,1)*VLOOKUP(M6,係数!$A$25:$B$28,2,TRUE())*IF(P6=1,係数!$B$32,1)</f>
        <v>1.25</v>
      </c>
      <c r="W6" s="17" t="n">
        <f aca="false">INDEX(係数!$B$10:$B$12,MATCH(R6,係数!$A$10:$A$12,0))</f>
        <v>8</v>
      </c>
      <c r="X6" s="17" t="n">
        <f aca="false">H6*(係数!$B$5+係数!$B$4*V6*(S6/60+係数!$B$6+Q6*係数!$B$7))+N6*係数!$B$13*係数!$B$4*V6*(S6/60+係数!$B$6+Q6*係数!$B$7)</f>
        <v>3.08333333333333</v>
      </c>
      <c r="Y6" s="17" t="n">
        <f aca="false">MAX(H6-1,0)*係数!$B$8+O6*係数!$B$9</f>
        <v>0</v>
      </c>
      <c r="Z6" s="18" t="n">
        <f aca="false">ROUND((W6+X6+Y6)*AI6,0)</f>
        <v>11</v>
      </c>
      <c r="AA6" s="17" t="n">
        <f aca="false">INDEX(係数!$C$10:$C$12,MATCH(R6,係数!$A$10:$A$12,0))</f>
        <v>12</v>
      </c>
      <c r="AB6" s="17" t="n">
        <f aca="false">H6*(係数!$C$5+係数!$C$4*V6*(S6/60+係数!$C$6+Q6*係数!$C$7))+N6*係数!$C$13*係数!$C$4*V6*(S6/60+係数!$C$6+Q6*係数!$C$7)</f>
        <v>5.75</v>
      </c>
      <c r="AC6" s="17" t="n">
        <f aca="false">MAX(H6-1,0)*係数!$C$8+O6*係数!$C$9</f>
        <v>0</v>
      </c>
      <c r="AD6" s="18" t="n">
        <f aca="false">ROUND((AA6+AB6+AC6)*AI6,0)</f>
        <v>18</v>
      </c>
      <c r="AE6" s="17" t="n">
        <f aca="false">INDEX(係数!$D$10:$D$12,MATCH(R6,係数!$A$10:$A$12,0))</f>
        <v>18</v>
      </c>
      <c r="AF6" s="17" t="n">
        <f aca="false">H6*(係数!$D$5+係数!$D$4*V6*(S6/60+係数!$D$6+Q6*係数!$D$7))+N6*係数!$D$13*係数!$D$4*V6*(S6/60+係数!$D$6+Q6*係数!$D$7)</f>
        <v>8.70833333333333</v>
      </c>
      <c r="AG6" s="17" t="n">
        <f aca="false">MAX(H6-1,0)*係数!$D$8+O6*係数!$D$9</f>
        <v>0</v>
      </c>
      <c r="AH6" s="18" t="n">
        <f aca="false">ROUND((AE6+AF6+AG6)*AI6,0)</f>
        <v>27</v>
      </c>
      <c r="AI6" s="19" t="n">
        <v>1</v>
      </c>
      <c r="AJ6" s="7" t="str">
        <f aca="false">IF(G6&gt;=AH6,"余裕あり",IF(G6&gt;=AD6,"適正",IF(G6&gt;=Z6,"ギリギリ","不足")))</f>
        <v>余裕あり</v>
      </c>
      <c r="AK6" s="11" t="n">
        <f aca="false">G6-AD6</f>
        <v>22</v>
      </c>
      <c r="AL6" s="20" t="n">
        <v>0.569444444444444</v>
      </c>
      <c r="AM6" s="20" t="n">
        <v>0.597222222222222</v>
      </c>
    </row>
    <row r="7" customFormat="false" ht="15" hidden="false" customHeight="false" outlineLevel="0" collapsed="false">
      <c r="A7" s="11" t="s">
        <v>123</v>
      </c>
      <c r="B7" s="14" t="n">
        <v>46326</v>
      </c>
      <c r="C7" s="11" t="s">
        <v>107</v>
      </c>
      <c r="D7" s="7" t="s">
        <v>124</v>
      </c>
      <c r="E7" s="7" t="s">
        <v>109</v>
      </c>
      <c r="F7" s="7" t="s">
        <v>125</v>
      </c>
      <c r="G7" s="10" t="n">
        <v>90</v>
      </c>
      <c r="H7" s="10" t="n">
        <v>3</v>
      </c>
      <c r="I7" s="10" t="n">
        <v>6</v>
      </c>
      <c r="J7" s="10" t="n">
        <v>1</v>
      </c>
      <c r="K7" s="10" t="n">
        <v>0</v>
      </c>
      <c r="L7" s="10" t="n">
        <v>0</v>
      </c>
      <c r="M7" s="10" t="n">
        <v>3</v>
      </c>
      <c r="N7" s="10" t="n">
        <v>1</v>
      </c>
      <c r="O7" s="10" t="n">
        <v>0</v>
      </c>
      <c r="P7" s="10" t="n">
        <v>0</v>
      </c>
      <c r="Q7" s="10" t="n">
        <v>0</v>
      </c>
      <c r="R7" s="15" t="s">
        <v>42</v>
      </c>
      <c r="S7" s="10" t="n">
        <v>20</v>
      </c>
      <c r="T7" s="11"/>
      <c r="U7" s="7" t="s">
        <v>126</v>
      </c>
      <c r="V7" s="16" t="n">
        <f aca="false">VLOOKUP(MIN(J7,3),係数!$A$19:$B$22,2,TRUE())*IF(L7=1,係数!$B$31,1)*VLOOKUP(M7,係数!$A$25:$B$28,2,TRUE())*IF(P7=1,係数!$B$32,1)</f>
        <v>1.21</v>
      </c>
      <c r="W7" s="17" t="n">
        <f aca="false">INDEX(係数!$B$10:$B$12,MATCH(R7,係数!$A$10:$A$12,0))</f>
        <v>3</v>
      </c>
      <c r="X7" s="17" t="n">
        <f aca="false">H7*(係数!$B$5+係数!$B$4*V7*(S7/60+係数!$B$6+Q7*係数!$B$7))+N7*係数!$B$13*係数!$B$4*V7*(S7/60+係数!$B$6+Q7*係数!$B$7)</f>
        <v>10.0583333333333</v>
      </c>
      <c r="Y7" s="17" t="n">
        <f aca="false">MAX(H7-1,0)*係数!$B$8+O7*係数!$B$9</f>
        <v>8</v>
      </c>
      <c r="Z7" s="18" t="n">
        <f aca="false">ROUND((W7+X7+Y7)*AI7,0)</f>
        <v>21</v>
      </c>
      <c r="AA7" s="17" t="n">
        <f aca="false">INDEX(係数!$C$10:$C$12,MATCH(R7,係数!$A$10:$A$12,0))</f>
        <v>5</v>
      </c>
      <c r="AB7" s="17" t="n">
        <f aca="false">H7*(係数!$C$5+係数!$C$4*V7*(S7/60+係数!$C$6+Q7*係数!$C$7))+N7*係数!$C$13*係数!$C$4*V7*(S7/60+係数!$C$6+Q7*係数!$C$7)</f>
        <v>18.899</v>
      </c>
      <c r="AC7" s="17" t="n">
        <f aca="false">MAX(H7-1,0)*係数!$C$8+O7*係数!$C$9</f>
        <v>12</v>
      </c>
      <c r="AD7" s="18" t="n">
        <f aca="false">ROUND((AA7+AB7+AC7)*AI7,0)</f>
        <v>36</v>
      </c>
      <c r="AE7" s="17" t="n">
        <f aca="false">INDEX(係数!$D$10:$D$12,MATCH(R7,係数!$A$10:$A$12,0))</f>
        <v>8</v>
      </c>
      <c r="AF7" s="17" t="n">
        <f aca="false">H7*(係数!$D$5+係数!$D$4*V7*(S7/60+係数!$D$6+Q7*係数!$D$7))+N7*係数!$D$13*係数!$D$4*V7*(S7/60+係数!$D$6+Q7*係数!$D$7)</f>
        <v>28.7278333333333</v>
      </c>
      <c r="AG7" s="17" t="n">
        <f aca="false">MAX(H7-1,0)*係数!$D$8+O7*係数!$D$9</f>
        <v>16</v>
      </c>
      <c r="AH7" s="18" t="n">
        <f aca="false">ROUND((AE7+AF7+AG7)*AI7,0)</f>
        <v>53</v>
      </c>
      <c r="AI7" s="19" t="n">
        <v>1</v>
      </c>
      <c r="AJ7" s="7" t="str">
        <f aca="false">IF(G7&gt;=AH7,"余裕あり",IF(G7&gt;=AD7,"適正",IF(G7&gt;=Z7,"ギリギリ","不足")))</f>
        <v>余裕あり</v>
      </c>
      <c r="AK7" s="11" t="n">
        <f aca="false">G7-AD7</f>
        <v>54</v>
      </c>
      <c r="AL7" s="20" t="n">
        <v>0.604166666666667</v>
      </c>
      <c r="AM7" s="20" t="n">
        <v>0.666666666666667</v>
      </c>
    </row>
    <row r="8" customFormat="false" ht="15" hidden="false" customHeight="false" outlineLevel="0" collapsed="false">
      <c r="A8" s="11" t="s">
        <v>127</v>
      </c>
      <c r="B8" s="14" t="n">
        <v>46327</v>
      </c>
      <c r="C8" s="11" t="s">
        <v>128</v>
      </c>
      <c r="D8" s="7" t="s">
        <v>129</v>
      </c>
      <c r="E8" s="7" t="s">
        <v>115</v>
      </c>
      <c r="F8" s="7" t="s">
        <v>110</v>
      </c>
      <c r="G8" s="10" t="n">
        <v>80</v>
      </c>
      <c r="H8" s="10" t="n">
        <v>10</v>
      </c>
      <c r="I8" s="10" t="n">
        <v>9</v>
      </c>
      <c r="J8" s="10" t="n">
        <v>2</v>
      </c>
      <c r="K8" s="10" t="n">
        <v>1</v>
      </c>
      <c r="L8" s="10" t="n">
        <v>0</v>
      </c>
      <c r="M8" s="10" t="n">
        <v>12</v>
      </c>
      <c r="N8" s="10" t="n">
        <v>2</v>
      </c>
      <c r="O8" s="10" t="n">
        <v>0</v>
      </c>
      <c r="P8" s="10" t="n">
        <v>0</v>
      </c>
      <c r="Q8" s="10" t="n">
        <v>0</v>
      </c>
      <c r="R8" s="15" t="s">
        <v>38</v>
      </c>
      <c r="S8" s="10" t="n">
        <v>20</v>
      </c>
      <c r="T8" s="7" t="s">
        <v>130</v>
      </c>
      <c r="U8" s="11" t="s">
        <v>131</v>
      </c>
      <c r="V8" s="16" t="n">
        <f aca="false">VLOOKUP(MIN(J8,3),係数!$A$19:$B$22,2,TRUE())*IF(L8=1,係数!$B$31,1)*VLOOKUP(M8,係数!$A$25:$B$28,2,TRUE())*IF(P8=1,係数!$B$32,1)</f>
        <v>1.5</v>
      </c>
      <c r="W8" s="17" t="n">
        <f aca="false">INDEX(係数!$B$10:$B$12,MATCH(R8,係数!$A$10:$A$12,0))</f>
        <v>12</v>
      </c>
      <c r="X8" s="17" t="n">
        <f aca="false">H8*(係数!$B$5+係数!$B$4*V8*(S8/60+係数!$B$6+Q8*係数!$B$7))+N8*係数!$B$13*係数!$B$4*V8*(S8/60+係数!$B$6+Q8*係数!$B$7)</f>
        <v>37.5</v>
      </c>
      <c r="Y8" s="17" t="n">
        <f aca="false">MAX(H8-1,0)*係数!$B$8+O8*係数!$B$9</f>
        <v>36</v>
      </c>
      <c r="Z8" s="18" t="n">
        <f aca="false">ROUND((W8+X8+Y8)*AI8,0)</f>
        <v>86</v>
      </c>
      <c r="AA8" s="17" t="n">
        <f aca="false">INDEX(係数!$C$10:$C$12,MATCH(R8,係数!$A$10:$A$12,0))</f>
        <v>20</v>
      </c>
      <c r="AB8" s="17" t="n">
        <f aca="false">H8*(係数!$C$5+係数!$C$4*V8*(S8/60+係数!$C$6+Q8*係数!$C$7))+N8*係数!$C$13*係数!$C$4*V8*(S8/60+係数!$C$6+Q8*係数!$C$7)</f>
        <v>71.1</v>
      </c>
      <c r="AC8" s="17" t="n">
        <f aca="false">MAX(H8-1,0)*係数!$C$8+O8*係数!$C$9</f>
        <v>54</v>
      </c>
      <c r="AD8" s="18" t="n">
        <f aca="false">ROUND((AA8+AB8+AC8)*AI8,0)</f>
        <v>145</v>
      </c>
      <c r="AE8" s="17" t="n">
        <f aca="false">INDEX(係数!$D$10:$D$12,MATCH(R8,係数!$A$10:$A$12,0))</f>
        <v>30</v>
      </c>
      <c r="AF8" s="17" t="n">
        <f aca="false">H8*(係数!$D$5+係数!$D$4*V8*(S8/60+係数!$D$6+Q8*係数!$D$7))+N8*係数!$D$13*係数!$D$4*V8*(S8/60+係数!$D$6+Q8*係数!$D$7)</f>
        <v>108.55</v>
      </c>
      <c r="AG8" s="17" t="n">
        <f aca="false">MAX(H8-1,0)*係数!$D$8+O8*係数!$D$9</f>
        <v>72</v>
      </c>
      <c r="AH8" s="18" t="n">
        <f aca="false">ROUND((AE8+AF8+AG8)*AI8,0)</f>
        <v>211</v>
      </c>
      <c r="AI8" s="19" t="n">
        <v>1</v>
      </c>
      <c r="AJ8" s="7" t="str">
        <f aca="false">IF(G8&gt;=AH8,"余裕あり",IF(G8&gt;=AD8,"適正",IF(G8&gt;=Z8,"ギリギリ","不足")))</f>
        <v>不足</v>
      </c>
      <c r="AK8" s="11" t="n">
        <f aca="false">G8-AD8</f>
        <v>-65</v>
      </c>
      <c r="AL8" s="20" t="n">
        <v>0.4375</v>
      </c>
      <c r="AM8" s="20" t="n">
        <v>0.493055555555556</v>
      </c>
    </row>
    <row r="9" customFormat="false" ht="15" hidden="false" customHeight="false" outlineLevel="0" collapsed="false">
      <c r="A9" s="11" t="s">
        <v>132</v>
      </c>
      <c r="B9" s="14" t="n">
        <v>46327</v>
      </c>
      <c r="C9" s="11" t="s">
        <v>128</v>
      </c>
      <c r="D9" s="7" t="s">
        <v>133</v>
      </c>
      <c r="E9" s="7" t="s">
        <v>115</v>
      </c>
      <c r="F9" s="7" t="s">
        <v>134</v>
      </c>
      <c r="G9" s="10" t="n">
        <v>30</v>
      </c>
      <c r="H9" s="10" t="n">
        <v>2</v>
      </c>
      <c r="I9" s="10" t="n">
        <v>0</v>
      </c>
      <c r="J9" s="10" t="n">
        <v>1</v>
      </c>
      <c r="K9" s="10" t="n">
        <v>1</v>
      </c>
      <c r="L9" s="10" t="n">
        <v>0</v>
      </c>
      <c r="M9" s="10" t="n">
        <v>12</v>
      </c>
      <c r="N9" s="10" t="n">
        <v>0</v>
      </c>
      <c r="O9" s="10" t="n">
        <v>0</v>
      </c>
      <c r="P9" s="10" t="n">
        <v>0</v>
      </c>
      <c r="Q9" s="10" t="n">
        <v>0</v>
      </c>
      <c r="R9" s="15" t="s">
        <v>42</v>
      </c>
      <c r="S9" s="10" t="n">
        <v>30</v>
      </c>
      <c r="T9" s="7" t="s">
        <v>135</v>
      </c>
      <c r="U9" s="7" t="s">
        <v>136</v>
      </c>
      <c r="V9" s="16" t="n">
        <f aca="false">VLOOKUP(MIN(J9,3),係数!$A$19:$B$22,2,TRUE())*IF(L9=1,係数!$B$31,1)*VLOOKUP(M9,係数!$A$25:$B$28,2,TRUE())*IF(P9=1,係数!$B$32,1)</f>
        <v>1.375</v>
      </c>
      <c r="W9" s="17" t="n">
        <f aca="false">INDEX(係数!$B$10:$B$12,MATCH(R9,係数!$A$10:$A$12,0))</f>
        <v>3</v>
      </c>
      <c r="X9" s="17" t="n">
        <f aca="false">H9*(係数!$B$5+係数!$B$4*V9*(S9/60+係数!$B$6+Q9*係数!$B$7))+N9*係数!$B$13*係数!$B$4*V9*(S9/60+係数!$B$6+Q9*係数!$B$7)</f>
        <v>7.5</v>
      </c>
      <c r="Y9" s="17" t="n">
        <f aca="false">MAX(H9-1,0)*係数!$B$8+O9*係数!$B$9</f>
        <v>4</v>
      </c>
      <c r="Z9" s="18" t="n">
        <f aca="false">ROUND((W9+X9+Y9)*AI9,0)</f>
        <v>15</v>
      </c>
      <c r="AA9" s="17" t="n">
        <f aca="false">INDEX(係数!$C$10:$C$12,MATCH(R9,係数!$A$10:$A$12,0))</f>
        <v>5</v>
      </c>
      <c r="AB9" s="17" t="n">
        <f aca="false">H9*(係数!$C$5+係数!$C$4*V9*(S9/60+係数!$C$6+Q9*係数!$C$7))+N9*係数!$C$13*係数!$C$4*V9*(S9/60+係数!$C$6+Q9*係数!$C$7)</f>
        <v>13.725</v>
      </c>
      <c r="AC9" s="17" t="n">
        <f aca="false">MAX(H9-1,0)*係数!$C$8+O9*係数!$C$9</f>
        <v>6</v>
      </c>
      <c r="AD9" s="18" t="n">
        <f aca="false">ROUND((AA9+AB9+AC9)*AI9,0)</f>
        <v>25</v>
      </c>
      <c r="AE9" s="17" t="n">
        <f aca="false">INDEX(係数!$D$10:$D$12,MATCH(R9,係数!$A$10:$A$12,0))</f>
        <v>8</v>
      </c>
      <c r="AF9" s="17" t="n">
        <f aca="false">H9*(係数!$D$5+係数!$D$4*V9*(S9/60+係数!$D$6+Q9*係数!$D$7))+N9*係数!$D$13*係数!$D$4*V9*(S9/60+係数!$D$6+Q9*係数!$D$7)</f>
        <v>20.3625</v>
      </c>
      <c r="AG9" s="17" t="n">
        <f aca="false">MAX(H9-1,0)*係数!$D$8+O9*係数!$D$9</f>
        <v>8</v>
      </c>
      <c r="AH9" s="18" t="n">
        <f aca="false">ROUND((AE9+AF9+AG9)*AI9,0)</f>
        <v>36</v>
      </c>
      <c r="AI9" s="19" t="n">
        <v>1</v>
      </c>
      <c r="AJ9" s="7" t="str">
        <f aca="false">IF(G9&gt;=AH9,"余裕あり",IF(G9&gt;=AD9,"適正",IF(G9&gt;=Z9,"ギリギリ","不足")))</f>
        <v>適正</v>
      </c>
      <c r="AK9" s="11" t="n">
        <f aca="false">G9-AD9</f>
        <v>5</v>
      </c>
      <c r="AL9" s="20" t="n">
        <v>0.5</v>
      </c>
      <c r="AM9" s="20" t="n">
        <v>0.520833333333333</v>
      </c>
    </row>
    <row r="10" customFormat="false" ht="15" hidden="false" customHeight="false" outlineLevel="0" collapsed="false">
      <c r="A10" s="11" t="s">
        <v>137</v>
      </c>
      <c r="B10" s="14" t="n">
        <v>46327</v>
      </c>
      <c r="C10" s="11" t="s">
        <v>128</v>
      </c>
      <c r="D10" s="7" t="s">
        <v>138</v>
      </c>
      <c r="E10" s="7" t="s">
        <v>115</v>
      </c>
      <c r="F10" s="11" t="s">
        <v>139</v>
      </c>
      <c r="G10" s="10" t="n">
        <v>25</v>
      </c>
      <c r="H10" s="10" t="n">
        <v>2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12</v>
      </c>
      <c r="N10" s="10" t="n">
        <v>0</v>
      </c>
      <c r="O10" s="10" t="n">
        <v>0</v>
      </c>
      <c r="P10" s="10" t="n">
        <v>0</v>
      </c>
      <c r="Q10" s="10" t="n">
        <v>0</v>
      </c>
      <c r="R10" s="15" t="s">
        <v>42</v>
      </c>
      <c r="S10" s="10" t="n">
        <v>15</v>
      </c>
      <c r="T10" s="7" t="s">
        <v>140</v>
      </c>
      <c r="U10" s="7" t="s">
        <v>141</v>
      </c>
      <c r="V10" s="16" t="n">
        <f aca="false">VLOOKUP(MIN(J10,3),係数!$A$19:$B$22,2,TRUE())*IF(L10=1,係数!$B$31,1)*VLOOKUP(M10,係数!$A$25:$B$28,2,TRUE())*IF(P10=1,係数!$B$32,1)</f>
        <v>1.25</v>
      </c>
      <c r="W10" s="17" t="n">
        <f aca="false">INDEX(係数!$B$10:$B$12,MATCH(R10,係数!$A$10:$A$12,0))</f>
        <v>3</v>
      </c>
      <c r="X10" s="17" t="n">
        <f aca="false">H10*(係数!$B$5+係数!$B$4*V10*(S10/60+係数!$B$6+Q10*係数!$B$7))+N10*係数!$B$13*係数!$B$4*V10*(S10/60+係数!$B$6+Q10*係数!$B$7)</f>
        <v>5.75</v>
      </c>
      <c r="Y10" s="17" t="n">
        <f aca="false">MAX(H10-1,0)*係数!$B$8+O10*係数!$B$9</f>
        <v>4</v>
      </c>
      <c r="Z10" s="18" t="n">
        <f aca="false">ROUND((W10+X10+Y10)*AI10,0)</f>
        <v>13</v>
      </c>
      <c r="AA10" s="17" t="n">
        <f aca="false">INDEX(係数!$C$10:$C$12,MATCH(R10,係数!$A$10:$A$12,0))</f>
        <v>5</v>
      </c>
      <c r="AB10" s="17" t="n">
        <f aca="false">H10*(係数!$C$5+係数!$C$4*V10*(S10/60+係数!$C$6+Q10*係数!$C$7))+N10*係数!$C$13*係数!$C$4*V10*(S10/60+係数!$C$6+Q10*係数!$C$7)</f>
        <v>10.875</v>
      </c>
      <c r="AC10" s="17" t="n">
        <f aca="false">MAX(H10-1,0)*係数!$C$8+O10*係数!$C$9</f>
        <v>6</v>
      </c>
      <c r="AD10" s="18" t="n">
        <f aca="false">ROUND((AA10+AB10+AC10)*AI10,0)</f>
        <v>22</v>
      </c>
      <c r="AE10" s="17" t="n">
        <f aca="false">INDEX(係数!$D$10:$D$12,MATCH(R10,係数!$A$10:$A$12,0))</f>
        <v>8</v>
      </c>
      <c r="AF10" s="17" t="n">
        <f aca="false">H10*(係数!$D$5+係数!$D$4*V10*(S10/60+係数!$D$6+Q10*係数!$D$7))+N10*係数!$D$13*係数!$D$4*V10*(S10/60+係数!$D$6+Q10*係数!$D$7)</f>
        <v>16.6875</v>
      </c>
      <c r="AG10" s="17" t="n">
        <f aca="false">MAX(H10-1,0)*係数!$D$8+O10*係数!$D$9</f>
        <v>8</v>
      </c>
      <c r="AH10" s="18" t="n">
        <f aca="false">ROUND((AE10+AF10+AG10)*AI10,0)</f>
        <v>33</v>
      </c>
      <c r="AI10" s="19" t="n">
        <v>1</v>
      </c>
      <c r="AJ10" s="7" t="str">
        <f aca="false">IF(G10&gt;=AH10,"余裕あり",IF(G10&gt;=AD10,"適正",IF(G10&gt;=Z10,"ギリギリ","不足")))</f>
        <v>適正</v>
      </c>
      <c r="AK10" s="11" t="n">
        <f aca="false">G10-AD10</f>
        <v>3</v>
      </c>
      <c r="AL10" s="20" t="n">
        <v>0.5625</v>
      </c>
      <c r="AM10" s="20" t="n">
        <v>0.579861111111111</v>
      </c>
    </row>
    <row r="11" customFormat="false" ht="15" hidden="false" customHeight="false" outlineLevel="0" collapsed="false">
      <c r="A11" s="11" t="s">
        <v>142</v>
      </c>
      <c r="B11" s="14" t="n">
        <v>46327</v>
      </c>
      <c r="C11" s="11" t="s">
        <v>128</v>
      </c>
      <c r="D11" s="7" t="s">
        <v>143</v>
      </c>
      <c r="E11" s="7" t="s">
        <v>115</v>
      </c>
      <c r="F11" s="11" t="s">
        <v>144</v>
      </c>
      <c r="G11" s="10" t="n">
        <v>20</v>
      </c>
      <c r="H11" s="10" t="n">
        <v>1</v>
      </c>
      <c r="I11" s="10" t="n">
        <v>2</v>
      </c>
      <c r="J11" s="10" t="n">
        <v>0</v>
      </c>
      <c r="K11" s="10" t="n">
        <v>1</v>
      </c>
      <c r="L11" s="10" t="n">
        <v>0</v>
      </c>
      <c r="M11" s="10" t="n">
        <v>12</v>
      </c>
      <c r="N11" s="10" t="n">
        <v>1</v>
      </c>
      <c r="O11" s="10" t="n">
        <v>0</v>
      </c>
      <c r="P11" s="10" t="n">
        <v>0</v>
      </c>
      <c r="Q11" s="10" t="n">
        <v>1</v>
      </c>
      <c r="R11" s="15" t="s">
        <v>38</v>
      </c>
      <c r="S11" s="10" t="n">
        <v>20</v>
      </c>
      <c r="T11" s="7" t="s">
        <v>145</v>
      </c>
      <c r="U11" s="7" t="s">
        <v>146</v>
      </c>
      <c r="V11" s="16" t="n">
        <f aca="false">VLOOKUP(MIN(J11,3),係数!$A$19:$B$22,2,TRUE())*IF(L11=1,係数!$B$31,1)*VLOOKUP(M11,係数!$A$25:$B$28,2,TRUE())*IF(P11=1,係数!$B$32,1)</f>
        <v>1.25</v>
      </c>
      <c r="W11" s="17" t="n">
        <f aca="false">INDEX(係数!$B$10:$B$12,MATCH(R11,係数!$A$10:$A$12,0))</f>
        <v>12</v>
      </c>
      <c r="X11" s="17" t="n">
        <f aca="false">H11*(係数!$B$5+係数!$B$4*V11*(S11/60+係数!$B$6+Q11*係数!$B$7))+N11*係数!$B$13*係数!$B$4*V11*(S11/60+係数!$B$6+Q11*係数!$B$7)</f>
        <v>9.75</v>
      </c>
      <c r="Y11" s="17" t="n">
        <f aca="false">MAX(H11-1,0)*係数!$B$8+O11*係数!$B$9</f>
        <v>0</v>
      </c>
      <c r="Z11" s="18" t="n">
        <f aca="false">ROUND((W11+X11+Y11)*AI11,0)</f>
        <v>22</v>
      </c>
      <c r="AA11" s="17" t="n">
        <f aca="false">INDEX(係数!$C$10:$C$12,MATCH(R11,係数!$A$10:$A$12,0))</f>
        <v>20</v>
      </c>
      <c r="AB11" s="17" t="n">
        <f aca="false">H11*(係数!$C$5+係数!$C$4*V11*(S11/60+係数!$C$6+Q11*係数!$C$7))+N11*係数!$C$13*係数!$C$4*V11*(S11/60+係数!$C$6+Q11*係数!$C$7)</f>
        <v>21.9375</v>
      </c>
      <c r="AC11" s="17" t="n">
        <f aca="false">MAX(H11-1,0)*係数!$C$8+O11*係数!$C$9</f>
        <v>0</v>
      </c>
      <c r="AD11" s="18" t="n">
        <f aca="false">ROUND((AA11+AB11+AC11)*AI11,0)</f>
        <v>42</v>
      </c>
      <c r="AE11" s="17" t="n">
        <f aca="false">INDEX(係数!$D$10:$D$12,MATCH(R11,係数!$A$10:$A$12,0))</f>
        <v>30</v>
      </c>
      <c r="AF11" s="17" t="n">
        <f aca="false">H11*(係数!$D$5+係数!$D$4*V11*(S11/60+係数!$D$6+Q11*係数!$D$7))+N11*係数!$D$13*係数!$D$4*V11*(S11/60+係数!$D$6+Q11*係数!$D$7)</f>
        <v>38.3125</v>
      </c>
      <c r="AG11" s="17" t="n">
        <f aca="false">MAX(H11-1,0)*係数!$D$8+O11*係数!$D$9</f>
        <v>0</v>
      </c>
      <c r="AH11" s="18" t="n">
        <f aca="false">ROUND((AE11+AF11+AG11)*AI11,0)</f>
        <v>68</v>
      </c>
      <c r="AI11" s="19" t="n">
        <v>1</v>
      </c>
      <c r="AJ11" s="7" t="str">
        <f aca="false">IF(G11&gt;=AH11,"余裕あり",IF(G11&gt;=AD11,"適正",IF(G11&gt;=Z11,"ギリギリ","不足")))</f>
        <v>不足</v>
      </c>
      <c r="AK11" s="11" t="n">
        <f aca="false">G11-AD11</f>
        <v>-22</v>
      </c>
      <c r="AL11" s="20" t="n">
        <v>0.579861111111111</v>
      </c>
      <c r="AM11" s="20" t="n">
        <v>0.59375</v>
      </c>
    </row>
    <row r="12" customFormat="false" ht="15" hidden="false" customHeight="false" outlineLevel="0" collapsed="false">
      <c r="A12" s="11" t="s">
        <v>147</v>
      </c>
      <c r="B12" s="14" t="n">
        <v>46327</v>
      </c>
      <c r="C12" s="11" t="s">
        <v>128</v>
      </c>
      <c r="D12" s="7" t="s">
        <v>148</v>
      </c>
      <c r="E12" s="7" t="s">
        <v>115</v>
      </c>
      <c r="F12" s="7" t="s">
        <v>149</v>
      </c>
      <c r="G12" s="10" t="n">
        <v>30</v>
      </c>
      <c r="H12" s="10" t="n">
        <v>2</v>
      </c>
      <c r="I12" s="10" t="n">
        <v>2</v>
      </c>
      <c r="J12" s="10" t="n">
        <v>1</v>
      </c>
      <c r="K12" s="10" t="n">
        <v>1</v>
      </c>
      <c r="L12" s="10" t="n">
        <v>0</v>
      </c>
      <c r="M12" s="10" t="n">
        <v>3</v>
      </c>
      <c r="N12" s="10" t="n">
        <v>1</v>
      </c>
      <c r="O12" s="10" t="n">
        <v>0</v>
      </c>
      <c r="P12" s="10" t="n">
        <v>0</v>
      </c>
      <c r="Q12" s="10" t="n">
        <v>0</v>
      </c>
      <c r="R12" s="15" t="s">
        <v>42</v>
      </c>
      <c r="S12" s="10" t="n">
        <v>30</v>
      </c>
      <c r="T12" s="7" t="s">
        <v>150</v>
      </c>
      <c r="U12" s="7" t="s">
        <v>151</v>
      </c>
      <c r="V12" s="16" t="n">
        <f aca="false">VLOOKUP(MIN(J12,3),係数!$A$19:$B$22,2,TRUE())*IF(L12=1,係数!$B$31,1)*VLOOKUP(M12,係数!$A$25:$B$28,2,TRUE())*IF(P12=1,係数!$B$32,1)</f>
        <v>1.21</v>
      </c>
      <c r="W12" s="17" t="n">
        <f aca="false">INDEX(係数!$B$10:$B$12,MATCH(R12,係数!$A$10:$A$12,0))</f>
        <v>3</v>
      </c>
      <c r="X12" s="17" t="n">
        <f aca="false">H12*(係数!$B$5+係数!$B$4*V12*(S12/60+係数!$B$6+Q12*係数!$B$7))+N12*係数!$B$13*係数!$B$4*V12*(S12/60+係数!$B$6+Q12*係数!$B$7)</f>
        <v>8.05</v>
      </c>
      <c r="Y12" s="17" t="n">
        <f aca="false">MAX(H12-1,0)*係数!$B$8+O12*係数!$B$9</f>
        <v>4</v>
      </c>
      <c r="Z12" s="18" t="n">
        <f aca="false">ROUND((W12+X12+Y12)*AI12,0)</f>
        <v>15</v>
      </c>
      <c r="AA12" s="17" t="n">
        <f aca="false">INDEX(係数!$C$10:$C$12,MATCH(R12,係数!$A$10:$A$12,0))</f>
        <v>5</v>
      </c>
      <c r="AB12" s="17" t="n">
        <f aca="false">H12*(係数!$C$5+係数!$C$4*V12*(S12/60+係数!$C$6+Q12*係数!$C$7))+N12*係数!$C$13*係数!$C$4*V12*(S12/60+係数!$C$6+Q12*係数!$C$7)</f>
        <v>14.7975</v>
      </c>
      <c r="AC12" s="17" t="n">
        <f aca="false">MAX(H12-1,0)*係数!$C$8+O12*係数!$C$9</f>
        <v>6</v>
      </c>
      <c r="AD12" s="18" t="n">
        <f aca="false">ROUND((AA12+AB12+AC12)*AI12,0)</f>
        <v>26</v>
      </c>
      <c r="AE12" s="17" t="n">
        <f aca="false">INDEX(係数!$D$10:$D$12,MATCH(R12,係数!$A$10:$A$12,0))</f>
        <v>8</v>
      </c>
      <c r="AF12" s="17" t="n">
        <f aca="false">H12*(係数!$D$5+係数!$D$4*V12*(S12/60+係数!$D$6+Q12*係数!$D$7))+N12*係数!$D$13*係数!$D$4*V12*(S12/60+係数!$D$6+Q12*係数!$D$7)</f>
        <v>21.99875</v>
      </c>
      <c r="AG12" s="17" t="n">
        <f aca="false">MAX(H12-1,0)*係数!$D$8+O12*係数!$D$9</f>
        <v>8</v>
      </c>
      <c r="AH12" s="18" t="n">
        <f aca="false">ROUND((AE12+AF12+AG12)*AI12,0)</f>
        <v>38</v>
      </c>
      <c r="AI12" s="19" t="n">
        <v>1</v>
      </c>
      <c r="AJ12" s="7" t="str">
        <f aca="false">IF(G12&gt;=AH12,"余裕あり",IF(G12&gt;=AD12,"適正",IF(G12&gt;=Z12,"ギリギリ","不足")))</f>
        <v>適正</v>
      </c>
      <c r="AK12" s="11" t="n">
        <f aca="false">G12-AD12</f>
        <v>4</v>
      </c>
      <c r="AL12" s="20" t="n">
        <v>0.59375</v>
      </c>
      <c r="AM12" s="20" t="n">
        <v>0.614583333333333</v>
      </c>
    </row>
    <row r="13" customFormat="false" ht="15" hidden="false" customHeight="false" outlineLevel="0" collapsed="false">
      <c r="A13" s="11" t="s">
        <v>152</v>
      </c>
      <c r="B13" s="14" t="n">
        <v>46327</v>
      </c>
      <c r="C13" s="11" t="s">
        <v>153</v>
      </c>
      <c r="D13" s="7" t="s">
        <v>154</v>
      </c>
      <c r="E13" s="7" t="s">
        <v>115</v>
      </c>
      <c r="F13" s="7" t="s">
        <v>155</v>
      </c>
      <c r="G13" s="10" t="n">
        <v>75</v>
      </c>
      <c r="H13" s="10" t="n">
        <v>5</v>
      </c>
      <c r="I13" s="10" t="n">
        <v>8</v>
      </c>
      <c r="J13" s="10" t="n">
        <v>2</v>
      </c>
      <c r="K13" s="10" t="n">
        <v>1</v>
      </c>
      <c r="L13" s="10" t="n">
        <v>0</v>
      </c>
      <c r="M13" s="10" t="n">
        <v>12</v>
      </c>
      <c r="N13" s="10" t="n">
        <v>2</v>
      </c>
      <c r="O13" s="10" t="n">
        <v>0</v>
      </c>
      <c r="P13" s="10" t="n">
        <v>0</v>
      </c>
      <c r="Q13" s="10" t="n">
        <v>0</v>
      </c>
      <c r="R13" s="15" t="s">
        <v>42</v>
      </c>
      <c r="S13" s="10" t="n">
        <v>25</v>
      </c>
      <c r="T13" s="7" t="s">
        <v>156</v>
      </c>
      <c r="U13" s="11" t="s">
        <v>157</v>
      </c>
      <c r="V13" s="16" t="n">
        <f aca="false">VLOOKUP(MIN(J13,3),係数!$A$19:$B$22,2,TRUE())*IF(L13=1,係数!$B$31,1)*VLOOKUP(M13,係数!$A$25:$B$28,2,TRUE())*IF(P13=1,係数!$B$32,1)</f>
        <v>1.5</v>
      </c>
      <c r="W13" s="17" t="n">
        <f aca="false">INDEX(係数!$B$10:$B$12,MATCH(R13,係数!$A$10:$A$12,0))</f>
        <v>3</v>
      </c>
      <c r="X13" s="17" t="n">
        <f aca="false">H13*(係数!$B$5+係数!$B$4*V13*(S13/60+係数!$B$6+Q13*係数!$B$7))+N13*係数!$B$13*係数!$B$4*V13*(S13/60+係数!$B$6+Q13*係数!$B$7)</f>
        <v>21.5</v>
      </c>
      <c r="Y13" s="17" t="n">
        <f aca="false">MAX(H13-1,0)*係数!$B$8+O13*係数!$B$9</f>
        <v>16</v>
      </c>
      <c r="Z13" s="18" t="n">
        <f aca="false">ROUND((W13+X13+Y13)*AI13,0)</f>
        <v>41</v>
      </c>
      <c r="AA13" s="17" t="n">
        <f aca="false">INDEX(係数!$C$10:$C$12,MATCH(R13,係数!$A$10:$A$12,0))</f>
        <v>5</v>
      </c>
      <c r="AB13" s="17" t="n">
        <f aca="false">H13*(係数!$C$5+係数!$C$4*V13*(S13/60+係数!$C$6+Q13*係数!$C$7))+N13*係数!$C$13*係数!$C$4*V13*(S13/60+係数!$C$6+Q13*係数!$C$7)</f>
        <v>40.35</v>
      </c>
      <c r="AC13" s="17" t="n">
        <f aca="false">MAX(H13-1,0)*係数!$C$8+O13*係数!$C$9</f>
        <v>24</v>
      </c>
      <c r="AD13" s="18" t="n">
        <f aca="false">ROUND((AA13+AB13+AC13)*AI13,0)</f>
        <v>69</v>
      </c>
      <c r="AE13" s="17" t="n">
        <f aca="false">INDEX(係数!$D$10:$D$12,MATCH(R13,係数!$A$10:$A$12,0))</f>
        <v>8</v>
      </c>
      <c r="AF13" s="17" t="n">
        <f aca="false">H13*(係数!$D$5+係数!$D$4*V13*(S13/60+係数!$D$6+Q13*係数!$D$7))+N13*係数!$D$13*係数!$D$4*V13*(S13/60+係数!$D$6+Q13*係数!$D$7)</f>
        <v>60.925</v>
      </c>
      <c r="AG13" s="17" t="n">
        <f aca="false">MAX(H13-1,0)*係数!$D$8+O13*係数!$D$9</f>
        <v>32</v>
      </c>
      <c r="AH13" s="18" t="n">
        <f aca="false">ROUND((AE13+AF13+AG13)*AI13,0)</f>
        <v>101</v>
      </c>
      <c r="AI13" s="19" t="n">
        <v>1</v>
      </c>
      <c r="AJ13" s="7" t="str">
        <f aca="false">IF(G13&gt;=AH13,"余裕あり",IF(G13&gt;=AD13,"適正",IF(G13&gt;=Z13,"ギリギリ","不足")))</f>
        <v>適正</v>
      </c>
      <c r="AK13" s="11" t="n">
        <f aca="false">G13-AD13</f>
        <v>6</v>
      </c>
      <c r="AL13" s="20" t="n">
        <v>0.635416666666667</v>
      </c>
      <c r="AM13" s="20" t="n">
        <v>0.6875</v>
      </c>
    </row>
    <row r="14" customFormat="false" ht="15" hidden="false" customHeight="false" outlineLevel="0" collapsed="false">
      <c r="A14" s="11" t="s">
        <v>158</v>
      </c>
      <c r="B14" s="14" t="n">
        <v>46329</v>
      </c>
      <c r="C14" s="11" t="s">
        <v>159</v>
      </c>
      <c r="D14" s="7" t="s">
        <v>160</v>
      </c>
      <c r="E14" s="7" t="s">
        <v>115</v>
      </c>
      <c r="F14" s="7" t="s">
        <v>161</v>
      </c>
      <c r="G14" s="10" t="n">
        <v>120</v>
      </c>
      <c r="H14" s="10" t="n">
        <v>12</v>
      </c>
      <c r="I14" s="10" t="n">
        <v>17</v>
      </c>
      <c r="J14" s="10" t="n">
        <v>3</v>
      </c>
      <c r="K14" s="10" t="n">
        <v>1</v>
      </c>
      <c r="L14" s="10" t="n">
        <v>0</v>
      </c>
      <c r="M14" s="10" t="n">
        <v>0</v>
      </c>
      <c r="N14" s="10" t="n">
        <v>3</v>
      </c>
      <c r="O14" s="10" t="n">
        <v>12</v>
      </c>
      <c r="P14" s="10" t="n">
        <v>1</v>
      </c>
      <c r="Q14" s="10" t="n">
        <v>0</v>
      </c>
      <c r="R14" s="15" t="s">
        <v>38</v>
      </c>
      <c r="S14" s="10" t="n">
        <v>25</v>
      </c>
      <c r="T14" s="7" t="s">
        <v>162</v>
      </c>
      <c r="U14" s="7" t="s">
        <v>163</v>
      </c>
      <c r="V14" s="16" t="n">
        <f aca="false">VLOOKUP(MIN(J14,3),係数!$A$19:$B$22,2,TRUE())*IF(L14=1,係数!$B$31,1)*VLOOKUP(M14,係数!$A$25:$B$28,2,TRUE())*IF(P14=1,係数!$B$32,1)</f>
        <v>1.69</v>
      </c>
      <c r="W14" s="17" t="n">
        <f aca="false">INDEX(係数!$B$10:$B$12,MATCH(R14,係数!$A$10:$A$12,0))</f>
        <v>12</v>
      </c>
      <c r="X14" s="17" t="n">
        <f aca="false">H14*(係数!$B$5+係数!$B$4*V14*(S14/60+係数!$B$6+Q14*係数!$B$7))+N14*係数!$B$13*係数!$B$4*V14*(S14/60+係数!$B$6+Q14*係数!$B$7)</f>
        <v>53.8275</v>
      </c>
      <c r="Y14" s="17" t="n">
        <f aca="false">MAX(H14-1,0)*係数!$B$8+O14*係数!$B$9</f>
        <v>68</v>
      </c>
      <c r="Z14" s="18" t="n">
        <f aca="false">ROUND((W14+X14+Y14)*AI14,0)</f>
        <v>134</v>
      </c>
      <c r="AA14" s="17" t="n">
        <f aca="false">INDEX(係数!$C$10:$C$12,MATCH(R14,係数!$A$10:$A$12,0))</f>
        <v>20</v>
      </c>
      <c r="AB14" s="17" t="n">
        <f aca="false">H14*(係数!$C$5+係数!$C$4*V14*(S14/60+係数!$C$6+Q14*係数!$C$7))+N14*係数!$C$13*係数!$C$4*V14*(S14/60+係数!$C$6+Q14*係数!$C$7)</f>
        <v>101.27475</v>
      </c>
      <c r="AC14" s="17" t="n">
        <f aca="false">MAX(H14-1,0)*係数!$C$8+O14*係数!$C$9</f>
        <v>114</v>
      </c>
      <c r="AD14" s="18" t="n">
        <f aca="false">ROUND((AA14+AB14+AC14)*AI14,0)</f>
        <v>235</v>
      </c>
      <c r="AE14" s="17" t="n">
        <f aca="false">INDEX(係数!$D$10:$D$12,MATCH(R14,係数!$A$10:$A$12,0))</f>
        <v>30</v>
      </c>
      <c r="AF14" s="17" t="n">
        <f aca="false">H14*(係数!$D$5+係数!$D$4*V14*(S14/60+係数!$D$6+Q14*係数!$D$7))+N14*係数!$D$13*係数!$D$4*V14*(S14/60+係数!$D$6+Q14*係数!$D$7)</f>
        <v>153.094875</v>
      </c>
      <c r="AG14" s="17" t="n">
        <f aca="false">MAX(H14-1,0)*係数!$D$8+O14*係数!$D$9</f>
        <v>160</v>
      </c>
      <c r="AH14" s="18" t="n">
        <f aca="false">ROUND((AE14+AF14+AG14)*AI14,0)</f>
        <v>343</v>
      </c>
      <c r="AI14" s="19" t="n">
        <v>1</v>
      </c>
      <c r="AJ14" s="7" t="str">
        <f aca="false">IF(G14&gt;=AH14,"余裕あり",IF(G14&gt;=AD14,"適正",IF(G14&gt;=Z14,"ギリギリ","不足")))</f>
        <v>不足</v>
      </c>
      <c r="AK14" s="11" t="n">
        <f aca="false">G14-AD14</f>
        <v>-115</v>
      </c>
      <c r="AL14" s="20" t="n">
        <v>0.333333333333333</v>
      </c>
      <c r="AM14" s="20" t="n">
        <v>0.416666666666667</v>
      </c>
    </row>
    <row r="15" customFormat="false" ht="15" hidden="false" customHeight="false" outlineLevel="0" collapsed="false">
      <c r="A15" s="11" t="s">
        <v>164</v>
      </c>
      <c r="B15" s="14" t="n">
        <v>46329</v>
      </c>
      <c r="C15" s="11" t="s">
        <v>159</v>
      </c>
      <c r="D15" s="7" t="s">
        <v>165</v>
      </c>
      <c r="E15" s="7" t="s">
        <v>115</v>
      </c>
      <c r="F15" s="7" t="s">
        <v>161</v>
      </c>
      <c r="G15" s="10" t="n">
        <v>30</v>
      </c>
      <c r="H15" s="10" t="n">
        <v>1</v>
      </c>
      <c r="I15" s="10" t="n">
        <v>3</v>
      </c>
      <c r="J15" s="10" t="n">
        <v>3</v>
      </c>
      <c r="K15" s="10" t="n">
        <v>0</v>
      </c>
      <c r="L15" s="10" t="n">
        <v>0</v>
      </c>
      <c r="M15" s="10" t="n">
        <v>0</v>
      </c>
      <c r="N15" s="10" t="n">
        <v>1</v>
      </c>
      <c r="O15" s="10" t="n">
        <v>1</v>
      </c>
      <c r="P15" s="10" t="n">
        <v>0</v>
      </c>
      <c r="Q15" s="10" t="n">
        <v>0</v>
      </c>
      <c r="R15" s="15" t="s">
        <v>38</v>
      </c>
      <c r="S15" s="10" t="n">
        <v>45</v>
      </c>
      <c r="T15" s="7" t="s">
        <v>166</v>
      </c>
      <c r="U15" s="7" t="s">
        <v>167</v>
      </c>
      <c r="V15" s="16" t="n">
        <f aca="false">VLOOKUP(MIN(J15,3),係数!$A$19:$B$22,2,TRUE())*IF(L15=1,係数!$B$31,1)*VLOOKUP(M15,係数!$A$25:$B$28,2,TRUE())*IF(P15=1,係数!$B$32,1)</f>
        <v>1.3</v>
      </c>
      <c r="W15" s="17" t="n">
        <f aca="false">INDEX(係数!$B$10:$B$12,MATCH(R15,係数!$A$10:$A$12,0))</f>
        <v>12</v>
      </c>
      <c r="X15" s="17" t="n">
        <f aca="false">H15*(係数!$B$5+係数!$B$4*V15*(S15/60+係数!$B$6+Q15*係数!$B$7))+N15*係数!$B$13*係数!$B$4*V15*(S15/60+係数!$B$6+Q15*係数!$B$7)</f>
        <v>5.875</v>
      </c>
      <c r="Y15" s="17" t="n">
        <f aca="false">MAX(H15-1,0)*係数!$B$8+O15*係数!$B$9</f>
        <v>2</v>
      </c>
      <c r="Z15" s="18" t="n">
        <f aca="false">ROUND((W15+X15+Y15)*AI15,0)</f>
        <v>20</v>
      </c>
      <c r="AA15" s="17" t="n">
        <f aca="false">INDEX(係数!$C$10:$C$12,MATCH(R15,係数!$A$10:$A$12,0))</f>
        <v>20</v>
      </c>
      <c r="AB15" s="17" t="n">
        <f aca="false">H15*(係数!$C$5+係数!$C$4*V15*(S15/60+係数!$C$6+Q15*係数!$C$7))+N15*係数!$C$13*係数!$C$4*V15*(S15/60+係数!$C$6+Q15*係数!$C$7)</f>
        <v>10.5675</v>
      </c>
      <c r="AC15" s="17" t="n">
        <f aca="false">MAX(H15-1,0)*係数!$C$8+O15*係数!$C$9</f>
        <v>4</v>
      </c>
      <c r="AD15" s="18" t="n">
        <f aca="false">ROUND((AA15+AB15+AC15)*AI15,0)</f>
        <v>35</v>
      </c>
      <c r="AE15" s="17" t="n">
        <f aca="false">INDEX(係数!$D$10:$D$12,MATCH(R15,係数!$A$10:$A$12,0))</f>
        <v>30</v>
      </c>
      <c r="AF15" s="17" t="n">
        <f aca="false">H15*(係数!$D$5+係数!$D$4*V15*(S15/60+係数!$D$6+Q15*係数!$D$7))+N15*係数!$D$13*係数!$D$4*V15*(S15/60+係数!$D$6+Q15*係数!$D$7)</f>
        <v>15.30875</v>
      </c>
      <c r="AG15" s="17" t="n">
        <f aca="false">MAX(H15-1,0)*係数!$D$8+O15*係数!$D$9</f>
        <v>6</v>
      </c>
      <c r="AH15" s="18" t="n">
        <f aca="false">ROUND((AE15+AF15+AG15)*AI15,0)</f>
        <v>51</v>
      </c>
      <c r="AI15" s="19" t="n">
        <v>1</v>
      </c>
      <c r="AJ15" s="7" t="str">
        <f aca="false">IF(G15&gt;=AH15,"余裕あり",IF(G15&gt;=AD15,"適正",IF(G15&gt;=Z15,"ギリギリ","不足")))</f>
        <v>ギリギリ</v>
      </c>
      <c r="AK15" s="11" t="n">
        <f aca="false">G15-AD15</f>
        <v>-5</v>
      </c>
      <c r="AL15" s="20" t="n">
        <v>0.423611111111111</v>
      </c>
      <c r="AM15" s="20" t="n">
        <v>0.444444444444444</v>
      </c>
    </row>
    <row r="16" customFormat="false" ht="15" hidden="false" customHeight="false" outlineLevel="0" collapsed="false">
      <c r="A16" s="11" t="s">
        <v>168</v>
      </c>
      <c r="B16" s="14" t="n">
        <v>46329</v>
      </c>
      <c r="C16" s="11" t="s">
        <v>159</v>
      </c>
      <c r="D16" s="7" t="s">
        <v>143</v>
      </c>
      <c r="E16" s="7" t="s">
        <v>115</v>
      </c>
      <c r="F16" s="7" t="s">
        <v>161</v>
      </c>
      <c r="G16" s="10" t="n">
        <v>30</v>
      </c>
      <c r="H16" s="10" t="n">
        <v>1</v>
      </c>
      <c r="I16" s="10" t="n">
        <v>3</v>
      </c>
      <c r="J16" s="10" t="n">
        <v>1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5" t="s">
        <v>42</v>
      </c>
      <c r="S16" s="10" t="n">
        <v>15</v>
      </c>
      <c r="T16" s="7" t="s">
        <v>169</v>
      </c>
      <c r="U16" s="11" t="s">
        <v>170</v>
      </c>
      <c r="V16" s="16" t="n">
        <f aca="false">VLOOKUP(MIN(J16,3),係数!$A$19:$B$22,2,TRUE())*IF(L16=1,係数!$B$31,1)*VLOOKUP(M16,係数!$A$25:$B$28,2,TRUE())*IF(P16=1,係数!$B$32,1)</f>
        <v>1.1</v>
      </c>
      <c r="W16" s="17" t="n">
        <f aca="false">INDEX(係数!$B$10:$B$12,MATCH(R16,係数!$A$10:$A$12,0))</f>
        <v>3</v>
      </c>
      <c r="X16" s="17" t="n">
        <f aca="false">H16*(係数!$B$5+係数!$B$4*V16*(S16/60+係数!$B$6+Q16*係数!$B$7))+N16*係数!$B$13*係数!$B$4*V16*(S16/60+係数!$B$6+Q16*係数!$B$7)</f>
        <v>2.65</v>
      </c>
      <c r="Y16" s="17" t="n">
        <f aca="false">MAX(H16-1,0)*係数!$B$8+O16*係数!$B$9</f>
        <v>0</v>
      </c>
      <c r="Z16" s="18" t="n">
        <f aca="false">ROUND((W16+X16+Y16)*AI16,0)</f>
        <v>6</v>
      </c>
      <c r="AA16" s="17" t="n">
        <f aca="false">INDEX(係数!$C$10:$C$12,MATCH(R16,係数!$A$10:$A$12,0))</f>
        <v>5</v>
      </c>
      <c r="AB16" s="17" t="n">
        <f aca="false">H16*(係数!$C$5+係数!$C$4*V16*(S16/60+係数!$C$6+Q16*係数!$C$7))+N16*係数!$C$13*係数!$C$4*V16*(S16/60+係数!$C$6+Q16*係数!$C$7)</f>
        <v>4.965</v>
      </c>
      <c r="AC16" s="17" t="n">
        <f aca="false">MAX(H16-1,0)*係数!$C$8+O16*係数!$C$9</f>
        <v>0</v>
      </c>
      <c r="AD16" s="18" t="n">
        <f aca="false">ROUND((AA16+AB16+AC16)*AI16,0)</f>
        <v>10</v>
      </c>
      <c r="AE16" s="17" t="n">
        <f aca="false">INDEX(係数!$D$10:$D$12,MATCH(R16,係数!$A$10:$A$12,0))</f>
        <v>8</v>
      </c>
      <c r="AF16" s="17" t="n">
        <f aca="false">H16*(係数!$D$5+係数!$D$4*V16*(S16/60+係数!$D$6+Q16*係数!$D$7))+N16*係数!$D$13*係数!$D$4*V16*(S16/60+係数!$D$6+Q16*係数!$D$7)</f>
        <v>7.5825</v>
      </c>
      <c r="AG16" s="17" t="n">
        <f aca="false">MAX(H16-1,0)*係数!$D$8+O16*係数!$D$9</f>
        <v>0</v>
      </c>
      <c r="AH16" s="18" t="n">
        <f aca="false">ROUND((AE16+AF16+AG16)*AI16,0)</f>
        <v>16</v>
      </c>
      <c r="AI16" s="19" t="n">
        <v>1</v>
      </c>
      <c r="AJ16" s="7" t="str">
        <f aca="false">IF(G16&gt;=AH16,"余裕あり",IF(G16&gt;=AD16,"適正",IF(G16&gt;=Z16,"ギリギリ","不足")))</f>
        <v>余裕あり</v>
      </c>
      <c r="AK16" s="11" t="n">
        <f aca="false">G16-AD16</f>
        <v>20</v>
      </c>
      <c r="AL16" s="20" t="n">
        <v>0.444444444444444</v>
      </c>
      <c r="AM16" s="20" t="n">
        <v>0.465277777777778</v>
      </c>
    </row>
    <row r="17" customFormat="false" ht="15" hidden="false" customHeight="false" outlineLevel="0" collapsed="false">
      <c r="A17" s="11" t="s">
        <v>171</v>
      </c>
      <c r="B17" s="14" t="n">
        <v>46329</v>
      </c>
      <c r="C17" s="11" t="s">
        <v>159</v>
      </c>
      <c r="D17" s="7" t="s">
        <v>172</v>
      </c>
      <c r="E17" s="7" t="s">
        <v>109</v>
      </c>
      <c r="F17" s="7" t="s">
        <v>120</v>
      </c>
      <c r="G17" s="10" t="n">
        <v>60</v>
      </c>
      <c r="H17" s="10" t="n">
        <v>4</v>
      </c>
      <c r="I17" s="10" t="n">
        <v>10</v>
      </c>
      <c r="J17" s="10" t="n">
        <v>2</v>
      </c>
      <c r="K17" s="10" t="n">
        <v>0</v>
      </c>
      <c r="L17" s="10" t="n">
        <v>0</v>
      </c>
      <c r="M17" s="10" t="n">
        <v>0</v>
      </c>
      <c r="N17" s="10" t="n">
        <v>1</v>
      </c>
      <c r="O17" s="10" t="n">
        <v>4</v>
      </c>
      <c r="P17" s="10" t="n">
        <v>0</v>
      </c>
      <c r="Q17" s="10" t="n">
        <v>0</v>
      </c>
      <c r="R17" s="15" t="s">
        <v>40</v>
      </c>
      <c r="S17" s="10" t="n">
        <v>30</v>
      </c>
      <c r="T17" s="7" t="s">
        <v>173</v>
      </c>
      <c r="U17" s="11" t="s">
        <v>174</v>
      </c>
      <c r="V17" s="16" t="n">
        <f aca="false">VLOOKUP(MIN(J17,3),係数!$A$19:$B$22,2,TRUE())*IF(L17=1,係数!$B$31,1)*VLOOKUP(M17,係数!$A$25:$B$28,2,TRUE())*IF(P17=1,係数!$B$32,1)</f>
        <v>1.2</v>
      </c>
      <c r="W17" s="17" t="n">
        <f aca="false">INDEX(係数!$B$10:$B$12,MATCH(R17,係数!$A$10:$A$12,0))</f>
        <v>8</v>
      </c>
      <c r="X17" s="17" t="n">
        <f aca="false">H17*(係数!$B$5+係数!$B$4*V17*(S17/60+係数!$B$6+Q17*係数!$B$7))+N17*係数!$B$13*係数!$B$4*V17*(S17/60+係数!$B$6+Q17*係数!$B$7)</f>
        <v>14.8</v>
      </c>
      <c r="Y17" s="17" t="n">
        <f aca="false">MAX(H17-1,0)*係数!$B$8+O17*係数!$B$9</f>
        <v>20</v>
      </c>
      <c r="Z17" s="18" t="n">
        <f aca="false">ROUND((W17+X17+Y17)*AI17,0)</f>
        <v>43</v>
      </c>
      <c r="AA17" s="17" t="n">
        <f aca="false">INDEX(係数!$C$10:$C$12,MATCH(R17,係数!$A$10:$A$12,0))</f>
        <v>12</v>
      </c>
      <c r="AB17" s="17" t="n">
        <f aca="false">H17*(係数!$C$5+係数!$C$4*V17*(S17/60+係数!$C$6+Q17*係数!$C$7))+N17*係数!$C$13*係数!$C$4*V17*(S17/60+係数!$C$6+Q17*係数!$C$7)</f>
        <v>27.06</v>
      </c>
      <c r="AC17" s="17" t="n">
        <f aca="false">MAX(H17-1,0)*係数!$C$8+O17*係数!$C$9</f>
        <v>34</v>
      </c>
      <c r="AD17" s="18" t="n">
        <f aca="false">ROUND((AA17+AB17+AC17)*AI17,0)</f>
        <v>73</v>
      </c>
      <c r="AE17" s="17" t="n">
        <f aca="false">INDEX(係数!$D$10:$D$12,MATCH(R17,係数!$A$10:$A$12,0))</f>
        <v>18</v>
      </c>
      <c r="AF17" s="17" t="n">
        <f aca="false">H17*(係数!$D$5+係数!$D$4*V17*(S17/60+係数!$D$6+Q17*係数!$D$7))+N17*係数!$D$13*係数!$D$4*V17*(S17/60+係数!$D$6+Q17*係数!$D$7)</f>
        <v>40.13</v>
      </c>
      <c r="AG17" s="17" t="n">
        <f aca="false">MAX(H17-1,0)*係数!$D$8+O17*係数!$D$9</f>
        <v>48</v>
      </c>
      <c r="AH17" s="18" t="n">
        <f aca="false">ROUND((AE17+AF17+AG17)*AI17,0)</f>
        <v>106</v>
      </c>
      <c r="AI17" s="19" t="n">
        <v>1</v>
      </c>
      <c r="AJ17" s="7" t="str">
        <f aca="false">IF(G17&gt;=AH17,"余裕あり",IF(G17&gt;=AD17,"適正",IF(G17&gt;=Z17,"ギリギリ","不足")))</f>
        <v>ギリギリ</v>
      </c>
      <c r="AK17" s="11" t="n">
        <f aca="false">G17-AD17</f>
        <v>-13</v>
      </c>
      <c r="AL17" s="20" t="n">
        <v>0.5</v>
      </c>
      <c r="AM17" s="20" t="n">
        <v>0.541666666666667</v>
      </c>
    </row>
    <row r="18" customFormat="false" ht="15" hidden="false" customHeight="false" outlineLevel="0" collapsed="false">
      <c r="A18" s="11" t="s">
        <v>175</v>
      </c>
      <c r="B18" s="14" t="n">
        <v>46329</v>
      </c>
      <c r="C18" s="11" t="s">
        <v>159</v>
      </c>
      <c r="D18" s="7" t="s">
        <v>176</v>
      </c>
      <c r="E18" s="7" t="s">
        <v>115</v>
      </c>
      <c r="F18" s="7" t="s">
        <v>177</v>
      </c>
      <c r="G18" s="10" t="n">
        <v>60</v>
      </c>
      <c r="H18" s="10" t="n">
        <v>6</v>
      </c>
      <c r="I18" s="10" t="n">
        <v>6</v>
      </c>
      <c r="J18" s="10" t="n">
        <v>2</v>
      </c>
      <c r="K18" s="10" t="n">
        <v>0</v>
      </c>
      <c r="L18" s="10" t="n">
        <v>0</v>
      </c>
      <c r="M18" s="10" t="n">
        <v>0</v>
      </c>
      <c r="N18" s="10" t="n">
        <v>2</v>
      </c>
      <c r="O18" s="10" t="n">
        <v>1</v>
      </c>
      <c r="P18" s="10" t="n">
        <v>0</v>
      </c>
      <c r="Q18" s="10" t="n">
        <v>0</v>
      </c>
      <c r="R18" s="15" t="s">
        <v>38</v>
      </c>
      <c r="S18" s="10" t="n">
        <v>25</v>
      </c>
      <c r="T18" s="7" t="s">
        <v>178</v>
      </c>
      <c r="U18" s="11" t="s">
        <v>179</v>
      </c>
      <c r="V18" s="16" t="n">
        <f aca="false">VLOOKUP(MIN(J18,3),係数!$A$19:$B$22,2,TRUE())*IF(L18=1,係数!$B$31,1)*VLOOKUP(M18,係数!$A$25:$B$28,2,TRUE())*IF(P18=1,係数!$B$32,1)</f>
        <v>1.2</v>
      </c>
      <c r="W18" s="17" t="n">
        <f aca="false">INDEX(係数!$B$10:$B$12,MATCH(R18,係数!$A$10:$A$12,0))</f>
        <v>12</v>
      </c>
      <c r="X18" s="17" t="n">
        <f aca="false">H18*(係数!$B$5+係数!$B$4*V18*(S18/60+係数!$B$6+Q18*係数!$B$7))+N18*係数!$B$13*係数!$B$4*V18*(S18/60+係数!$B$6+Q18*係数!$B$7)</f>
        <v>21.4</v>
      </c>
      <c r="Y18" s="17" t="n">
        <f aca="false">MAX(H18-1,0)*係数!$B$8+O18*係数!$B$9</f>
        <v>22</v>
      </c>
      <c r="Z18" s="18" t="n">
        <f aca="false">ROUND((W18+X18+Y18)*AI18,0)</f>
        <v>55</v>
      </c>
      <c r="AA18" s="17" t="n">
        <f aca="false">INDEX(係数!$C$10:$C$12,MATCH(R18,係数!$A$10:$A$12,0))</f>
        <v>20</v>
      </c>
      <c r="AB18" s="17" t="n">
        <f aca="false">H18*(係数!$C$5+係数!$C$4*V18*(S18/60+係数!$C$6+Q18*係数!$C$7))+N18*係数!$C$13*係数!$C$4*V18*(S18/60+係数!$C$6+Q18*係数!$C$7)</f>
        <v>39.66</v>
      </c>
      <c r="AC18" s="17" t="n">
        <f aca="false">MAX(H18-1,0)*係数!$C$8+O18*係数!$C$9</f>
        <v>34</v>
      </c>
      <c r="AD18" s="18" t="n">
        <f aca="false">ROUND((AA18+AB18+AC18)*AI18,0)</f>
        <v>94</v>
      </c>
      <c r="AE18" s="17" t="n">
        <f aca="false">INDEX(係数!$D$10:$D$12,MATCH(R18,係数!$A$10:$A$12,0))</f>
        <v>30</v>
      </c>
      <c r="AF18" s="17" t="n">
        <f aca="false">H18*(係数!$D$5+係数!$D$4*V18*(S18/60+係数!$D$6+Q18*係数!$D$7))+N18*係数!$D$13*係数!$D$4*V18*(S18/60+係数!$D$6+Q18*係数!$D$7)</f>
        <v>59.53</v>
      </c>
      <c r="AG18" s="17" t="n">
        <f aca="false">MAX(H18-1,0)*係数!$D$8+O18*係数!$D$9</f>
        <v>46</v>
      </c>
      <c r="AH18" s="18" t="n">
        <f aca="false">ROUND((AE18+AF18+AG18)*AI18,0)</f>
        <v>136</v>
      </c>
      <c r="AI18" s="19" t="n">
        <v>1</v>
      </c>
      <c r="AJ18" s="7" t="str">
        <f aca="false">IF(G18&gt;=AH18,"余裕あり",IF(G18&gt;=AD18,"適正",IF(G18&gt;=Z18,"ギリギリ","不足")))</f>
        <v>ギリギリ</v>
      </c>
      <c r="AK18" s="11" t="n">
        <f aca="false">G18-AD18</f>
        <v>-34</v>
      </c>
      <c r="AL18" s="20" t="n">
        <v>0.541666666666667</v>
      </c>
      <c r="AM18" s="20" t="n">
        <v>0.583333333333333</v>
      </c>
    </row>
    <row r="19" customFormat="false" ht="15" hidden="false" customHeight="false" outlineLevel="0" collapsed="false">
      <c r="A19" s="11" t="s">
        <v>180</v>
      </c>
      <c r="B19" s="14" t="n">
        <v>46329</v>
      </c>
      <c r="C19" s="11" t="s">
        <v>181</v>
      </c>
      <c r="D19" s="7" t="s">
        <v>182</v>
      </c>
      <c r="E19" s="7" t="s">
        <v>115</v>
      </c>
      <c r="F19" s="7" t="s">
        <v>183</v>
      </c>
      <c r="G19" s="10" t="n">
        <v>75</v>
      </c>
      <c r="H19" s="8" t="n">
        <v>3</v>
      </c>
      <c r="I19" s="10" t="n">
        <v>3</v>
      </c>
      <c r="J19" s="10" t="n">
        <v>2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3</v>
      </c>
      <c r="P19" s="10" t="n">
        <v>0</v>
      </c>
      <c r="Q19" s="10" t="n">
        <v>0</v>
      </c>
      <c r="R19" s="15" t="s">
        <v>38</v>
      </c>
      <c r="S19" s="10" t="n">
        <v>20</v>
      </c>
      <c r="T19" s="7" t="s">
        <v>184</v>
      </c>
      <c r="U19" s="7" t="s">
        <v>185</v>
      </c>
      <c r="V19" s="16" t="n">
        <f aca="false">VLOOKUP(MIN(J19,3),係数!$A$19:$B$22,2,TRUE())*IF(L19=1,係数!$B$31,1)*VLOOKUP(M19,係数!$A$25:$B$28,2,TRUE())*IF(P19=1,係数!$B$32,1)</f>
        <v>1.2</v>
      </c>
      <c r="W19" s="17" t="n">
        <f aca="false">INDEX(係数!$B$10:$B$12,MATCH(R19,係数!$A$10:$A$12,0))</f>
        <v>12</v>
      </c>
      <c r="X19" s="17" t="n">
        <f aca="false">H19*(係数!$B$5+係数!$B$4*V19*(S19/60+係数!$B$6+Q19*係数!$B$7))+N19*係数!$B$13*係数!$B$4*V19*(S19/60+係数!$B$6+Q19*係数!$B$7)</f>
        <v>9</v>
      </c>
      <c r="Y19" s="17" t="n">
        <f aca="false">MAX(H19-1,0)*係数!$B$8+O19*係数!$B$9</f>
        <v>14</v>
      </c>
      <c r="Z19" s="18" t="n">
        <f aca="false">ROUND((W19+X19+Y19)*AI19,0)</f>
        <v>35</v>
      </c>
      <c r="AA19" s="17" t="n">
        <f aca="false">INDEX(係数!$C$10:$C$12,MATCH(R19,係数!$A$10:$A$12,0))</f>
        <v>20</v>
      </c>
      <c r="AB19" s="17" t="n">
        <f aca="false">H19*(係数!$C$5+係数!$C$4*V19*(S19/60+係数!$C$6+Q19*係数!$C$7))+N19*係数!$C$13*係数!$C$4*V19*(S19/60+係数!$C$6+Q19*係数!$C$7)</f>
        <v>16.74</v>
      </c>
      <c r="AC19" s="17" t="n">
        <f aca="false">MAX(H19-1,0)*係数!$C$8+O19*係数!$C$9</f>
        <v>24</v>
      </c>
      <c r="AD19" s="18" t="n">
        <f aca="false">ROUND((AA19+AB19+AC19)*AI19,0)</f>
        <v>61</v>
      </c>
      <c r="AE19" s="17" t="n">
        <f aca="false">INDEX(係数!$D$10:$D$12,MATCH(R19,係数!$A$10:$A$12,0))</f>
        <v>30</v>
      </c>
      <c r="AF19" s="17" t="n">
        <f aca="false">H19*(係数!$D$5+係数!$D$4*V19*(S19/60+係数!$D$6+Q19*係数!$D$7))+N19*係数!$D$13*係数!$D$4*V19*(S19/60+係数!$D$6+Q19*係数!$D$7)</f>
        <v>25.32</v>
      </c>
      <c r="AG19" s="17" t="n">
        <f aca="false">MAX(H19-1,0)*係数!$D$8+O19*係数!$D$9</f>
        <v>34</v>
      </c>
      <c r="AH19" s="18" t="n">
        <f aca="false">ROUND((AE19+AF19+AG19)*AI19,0)</f>
        <v>89</v>
      </c>
      <c r="AI19" s="19" t="n">
        <v>1</v>
      </c>
      <c r="AJ19" s="7" t="str">
        <f aca="false">IF(G19&gt;=AH19,"余裕あり",IF(G19&gt;=AD19,"適正",IF(G19&gt;=Z19,"ギリギリ","不足")))</f>
        <v>適正</v>
      </c>
      <c r="AK19" s="11" t="n">
        <f aca="false">G19-AD19</f>
        <v>14</v>
      </c>
      <c r="AL19" s="20" t="n">
        <v>0.635416666666667</v>
      </c>
      <c r="AM19" s="20" t="n">
        <v>0.6875</v>
      </c>
    </row>
    <row r="20" customFormat="false" ht="15" hidden="false" customHeight="false" outlineLevel="0" collapsed="false">
      <c r="A20" s="11" t="s">
        <v>186</v>
      </c>
      <c r="B20" s="14" t="n">
        <v>46329</v>
      </c>
      <c r="C20" s="11" t="s">
        <v>181</v>
      </c>
      <c r="D20" s="7" t="s">
        <v>187</v>
      </c>
      <c r="E20" s="7" t="s">
        <v>109</v>
      </c>
      <c r="F20" s="7" t="s">
        <v>188</v>
      </c>
      <c r="G20" s="10" t="n">
        <v>30</v>
      </c>
      <c r="H20" s="10" t="n">
        <v>1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5" t="s">
        <v>40</v>
      </c>
      <c r="S20" s="10" t="n">
        <v>15</v>
      </c>
      <c r="T20" s="11"/>
      <c r="U20" s="7" t="s">
        <v>189</v>
      </c>
      <c r="V20" s="16" t="n">
        <f aca="false">VLOOKUP(MIN(J20,3),係数!$A$19:$B$22,2,TRUE())*IF(L20=1,係数!$B$31,1)*VLOOKUP(M20,係数!$A$25:$B$28,2,TRUE())*IF(P20=1,係数!$B$32,1)</f>
        <v>1</v>
      </c>
      <c r="W20" s="17" t="n">
        <f aca="false">INDEX(係数!$B$10:$B$12,MATCH(R20,係数!$A$10:$A$12,0))</f>
        <v>8</v>
      </c>
      <c r="X20" s="17" t="n">
        <f aca="false">H20*(係数!$B$5+係数!$B$4*V20*(S20/60+係数!$B$6+Q20*係数!$B$7))+N20*係数!$B$13*係数!$B$4*V20*(S20/60+係数!$B$6+Q20*係数!$B$7)</f>
        <v>2.5</v>
      </c>
      <c r="Y20" s="17" t="n">
        <f aca="false">MAX(H20-1,0)*係数!$B$8+O20*係数!$B$9</f>
        <v>0</v>
      </c>
      <c r="Z20" s="18" t="n">
        <f aca="false">ROUND((W20+X20+Y20)*AI20,0)</f>
        <v>11</v>
      </c>
      <c r="AA20" s="17" t="n">
        <f aca="false">INDEX(係数!$C$10:$C$12,MATCH(R20,係数!$A$10:$A$12,0))</f>
        <v>12</v>
      </c>
      <c r="AB20" s="17" t="n">
        <f aca="false">H20*(係数!$C$5+係数!$C$4*V20*(S20/60+係数!$C$6+Q20*係数!$C$7))+N20*係数!$C$13*係数!$C$4*V20*(S20/60+係数!$C$6+Q20*係数!$C$7)</f>
        <v>4.65</v>
      </c>
      <c r="AC20" s="17" t="n">
        <f aca="false">MAX(H20-1,0)*係数!$C$8+O20*係数!$C$9</f>
        <v>0</v>
      </c>
      <c r="AD20" s="18" t="n">
        <f aca="false">ROUND((AA20+AB20+AC20)*AI20,0)</f>
        <v>17</v>
      </c>
      <c r="AE20" s="17" t="n">
        <f aca="false">INDEX(係数!$D$10:$D$12,MATCH(R20,係数!$A$10:$A$12,0))</f>
        <v>18</v>
      </c>
      <c r="AF20" s="17" t="n">
        <f aca="false">H20*(係数!$D$5+係数!$D$4*V20*(S20/60+係数!$D$6+Q20*係数!$D$7))+N20*係数!$D$13*係数!$D$4*V20*(S20/60+係数!$D$6+Q20*係数!$D$7)</f>
        <v>7.075</v>
      </c>
      <c r="AG20" s="17" t="n">
        <f aca="false">MAX(H20-1,0)*係数!$D$8+O20*係数!$D$9</f>
        <v>0</v>
      </c>
      <c r="AH20" s="18" t="n">
        <f aca="false">ROUND((AE20+AF20+AG20)*AI20,0)</f>
        <v>25</v>
      </c>
      <c r="AI20" s="19" t="n">
        <v>1</v>
      </c>
      <c r="AJ20" s="7" t="str">
        <f aca="false">IF(G20&gt;=AH20,"余裕あり",IF(G20&gt;=AD20,"適正",IF(G20&gt;=Z20,"ギリギリ","不足")))</f>
        <v>余裕あり</v>
      </c>
      <c r="AK20" s="11" t="n">
        <f aca="false">G20-AD20</f>
        <v>13</v>
      </c>
      <c r="AL20" s="20" t="n">
        <v>0.6875</v>
      </c>
      <c r="AM20" s="20" t="n">
        <v>0.708333333333333</v>
      </c>
    </row>
    <row r="21" customFormat="false" ht="15" hidden="false" customHeight="false" outlineLevel="0" collapsed="false">
      <c r="A21" s="11" t="s">
        <v>190</v>
      </c>
      <c r="B21" s="14" t="n">
        <v>46333</v>
      </c>
      <c r="C21" s="11" t="s">
        <v>191</v>
      </c>
      <c r="D21" s="7" t="s">
        <v>192</v>
      </c>
      <c r="E21" s="7" t="s">
        <v>109</v>
      </c>
      <c r="F21" s="7" t="s">
        <v>183</v>
      </c>
      <c r="G21" s="10" t="n">
        <v>30</v>
      </c>
      <c r="H21" s="8" t="n">
        <v>2</v>
      </c>
      <c r="I21" s="10" t="n">
        <v>5</v>
      </c>
      <c r="J21" s="10" t="n">
        <v>2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2</v>
      </c>
      <c r="P21" s="10" t="n">
        <v>0</v>
      </c>
      <c r="Q21" s="10" t="n">
        <v>0</v>
      </c>
      <c r="R21" s="15" t="s">
        <v>40</v>
      </c>
      <c r="S21" s="10" t="n">
        <v>25</v>
      </c>
      <c r="T21" s="7" t="s">
        <v>116</v>
      </c>
      <c r="U21" s="7" t="s">
        <v>193</v>
      </c>
      <c r="V21" s="16" t="n">
        <f aca="false">VLOOKUP(MIN(J21,3),係数!$A$19:$B$22,2,TRUE())*IF(L21=1,係数!$B$31,1)*VLOOKUP(M21,係数!$A$25:$B$28,2,TRUE())*IF(P21=1,係数!$B$32,1)</f>
        <v>1.2</v>
      </c>
      <c r="W21" s="17" t="n">
        <f aca="false">INDEX(係数!$B$10:$B$12,MATCH(R21,係数!$A$10:$A$12,0))</f>
        <v>8</v>
      </c>
      <c r="X21" s="17" t="n">
        <f aca="false">H21*(係数!$B$5+係数!$B$4*V21*(S21/60+係数!$B$6+Q21*係数!$B$7))+N21*係数!$B$13*係数!$B$4*V21*(S21/60+係数!$B$6+Q21*係数!$B$7)</f>
        <v>6.4</v>
      </c>
      <c r="Y21" s="17" t="n">
        <f aca="false">MAX(H21-1,0)*係数!$B$8+O21*係数!$B$9</f>
        <v>8</v>
      </c>
      <c r="Z21" s="18" t="n">
        <f aca="false">ROUND((W21+X21+Y21)*AI21,0)</f>
        <v>22</v>
      </c>
      <c r="AA21" s="17" t="n">
        <f aca="false">INDEX(係数!$C$10:$C$12,MATCH(R21,係数!$A$10:$A$12,0))</f>
        <v>12</v>
      </c>
      <c r="AB21" s="17" t="n">
        <f aca="false">H21*(係数!$C$5+係数!$C$4*V21*(S21/60+係数!$C$6+Q21*係数!$C$7))+N21*係数!$C$13*係数!$C$4*V21*(S21/60+係数!$C$6+Q21*係数!$C$7)</f>
        <v>11.76</v>
      </c>
      <c r="AC21" s="17" t="n">
        <f aca="false">MAX(H21-1,0)*係数!$C$8+O21*係数!$C$9</f>
        <v>14</v>
      </c>
      <c r="AD21" s="18" t="n">
        <f aca="false">ROUND((AA21+AB21+AC21)*AI21,0)</f>
        <v>38</v>
      </c>
      <c r="AE21" s="17" t="n">
        <f aca="false">INDEX(係数!$D$10:$D$12,MATCH(R21,係数!$A$10:$A$12,0))</f>
        <v>18</v>
      </c>
      <c r="AF21" s="17" t="n">
        <f aca="false">H21*(係数!$D$5+係数!$D$4*V21*(S21/60+係数!$D$6+Q21*係数!$D$7))+N21*係数!$D$13*係数!$D$4*V21*(S21/60+係数!$D$6+Q21*係数!$D$7)</f>
        <v>17.58</v>
      </c>
      <c r="AG21" s="17" t="n">
        <f aca="false">MAX(H21-1,0)*係数!$D$8+O21*係数!$D$9</f>
        <v>20</v>
      </c>
      <c r="AH21" s="18" t="n">
        <f aca="false">ROUND((AE21+AF21+AG21)*AI21,0)</f>
        <v>56</v>
      </c>
      <c r="AI21" s="19" t="n">
        <v>1</v>
      </c>
      <c r="AJ21" s="7" t="str">
        <f aca="false">IF(G21&gt;=AH21,"余裕あり",IF(G21&gt;=AD21,"適正",IF(G21&gt;=Z21,"ギリギリ","不足")))</f>
        <v>ギリギリ</v>
      </c>
      <c r="AK21" s="11" t="n">
        <f aca="false">G21-AD21</f>
        <v>-8</v>
      </c>
      <c r="AL21" s="20" t="n">
        <v>0.458333333333333</v>
      </c>
      <c r="AM21" s="20" t="n">
        <v>0.479166666666667</v>
      </c>
    </row>
    <row r="22" customFormat="false" ht="15" hidden="false" customHeight="false" outlineLevel="0" collapsed="false">
      <c r="A22" s="11" t="s">
        <v>194</v>
      </c>
      <c r="B22" s="14" t="n">
        <v>46333</v>
      </c>
      <c r="C22" s="11" t="s">
        <v>191</v>
      </c>
      <c r="D22" s="7" t="s">
        <v>192</v>
      </c>
      <c r="E22" s="7" t="s">
        <v>109</v>
      </c>
      <c r="F22" s="7" t="s">
        <v>110</v>
      </c>
      <c r="G22" s="10" t="n">
        <v>90</v>
      </c>
      <c r="H22" s="10" t="n">
        <v>13</v>
      </c>
      <c r="I22" s="10" t="n">
        <v>21</v>
      </c>
      <c r="J22" s="10" t="n">
        <v>2</v>
      </c>
      <c r="K22" s="10" t="n">
        <v>1</v>
      </c>
      <c r="L22" s="10" t="n">
        <v>1</v>
      </c>
      <c r="M22" s="10" t="n">
        <v>0</v>
      </c>
      <c r="N22" s="10" t="n">
        <v>1</v>
      </c>
      <c r="O22" s="10" t="n">
        <v>0</v>
      </c>
      <c r="P22" s="10" t="n">
        <v>0</v>
      </c>
      <c r="Q22" s="10" t="n">
        <v>0</v>
      </c>
      <c r="R22" s="15" t="s">
        <v>42</v>
      </c>
      <c r="S22" s="10" t="n">
        <v>15</v>
      </c>
      <c r="T22" s="7" t="s">
        <v>195</v>
      </c>
      <c r="U22" s="7" t="s">
        <v>196</v>
      </c>
      <c r="V22" s="16" t="n">
        <f aca="false">VLOOKUP(MIN(J22,3),係数!$A$19:$B$22,2,TRUE())*IF(L22=1,係数!$B$31,1)*VLOOKUP(M22,係数!$A$25:$B$28,2,TRUE())*IF(P22=1,係数!$B$32,1)</f>
        <v>1.8</v>
      </c>
      <c r="W22" s="17" t="n">
        <f aca="false">INDEX(係数!$B$10:$B$12,MATCH(R22,係数!$A$10:$A$12,0))</f>
        <v>3</v>
      </c>
      <c r="X22" s="17" t="n">
        <f aca="false">H22*(係数!$B$5+係数!$B$4*V22*(S22/60+係数!$B$6+Q22*係数!$B$7))+N22*係数!$B$13*係数!$B$4*V22*(S22/60+係数!$B$6+Q22*係数!$B$7)</f>
        <v>49.45</v>
      </c>
      <c r="Y22" s="17" t="n">
        <f aca="false">MAX(H22-1,0)*係数!$B$8+O22*係数!$B$9</f>
        <v>48</v>
      </c>
      <c r="Z22" s="18" t="n">
        <f aca="false">ROUND((W22+X22+Y22)*AI22,0)</f>
        <v>100</v>
      </c>
      <c r="AA22" s="17" t="n">
        <f aca="false">INDEX(係数!$C$10:$C$12,MATCH(R22,係数!$A$10:$A$12,0))</f>
        <v>5</v>
      </c>
      <c r="AB22" s="17" t="n">
        <f aca="false">H22*(係数!$C$5+係数!$C$4*V22*(S22/60+係数!$C$6+Q22*係数!$C$7))+N22*係数!$C$13*係数!$C$4*V22*(S22/60+係数!$C$6+Q22*係数!$C$7)</f>
        <v>96.045</v>
      </c>
      <c r="AC22" s="17" t="n">
        <f aca="false">MAX(H22-1,0)*係数!$C$8+O22*係数!$C$9</f>
        <v>72</v>
      </c>
      <c r="AD22" s="18" t="n">
        <f aca="false">ROUND((AA22+AB22+AC22)*AI22,0)</f>
        <v>173</v>
      </c>
      <c r="AE22" s="17" t="n">
        <f aca="false">INDEX(係数!$D$10:$D$12,MATCH(R22,係数!$A$10:$A$12,0))</f>
        <v>8</v>
      </c>
      <c r="AF22" s="17" t="n">
        <f aca="false">H22*(係数!$D$5+係数!$D$4*V22*(S22/60+係数!$D$6+Q22*係数!$D$7))+N22*係数!$D$13*係数!$D$4*V22*(S22/60+係数!$D$6+Q22*係数!$D$7)</f>
        <v>149.3225</v>
      </c>
      <c r="AG22" s="17" t="n">
        <f aca="false">MAX(H22-1,0)*係数!$D$8+O22*係数!$D$9</f>
        <v>96</v>
      </c>
      <c r="AH22" s="18" t="n">
        <f aca="false">ROUND((AE22+AF22+AG22)*AI22,0)</f>
        <v>253</v>
      </c>
      <c r="AI22" s="19" t="n">
        <v>1</v>
      </c>
      <c r="AJ22" s="7" t="str">
        <f aca="false">IF(G22&gt;=AH22,"余裕あり",IF(G22&gt;=AD22,"適正",IF(G22&gt;=Z22,"ギリギリ","不足")))</f>
        <v>不足</v>
      </c>
      <c r="AK22" s="11" t="n">
        <f aca="false">G22-AD22</f>
        <v>-83</v>
      </c>
      <c r="AL22" s="20" t="n">
        <v>0.486111111111111</v>
      </c>
      <c r="AM22" s="20" t="n">
        <v>0.548611111111111</v>
      </c>
    </row>
    <row r="23" customFormat="false" ht="15" hidden="false" customHeight="false" outlineLevel="0" collapsed="false">
      <c r="A23" s="11" t="s">
        <v>197</v>
      </c>
      <c r="B23" s="14" t="n">
        <v>46333</v>
      </c>
      <c r="C23" s="11" t="s">
        <v>191</v>
      </c>
      <c r="D23" s="7" t="s">
        <v>198</v>
      </c>
      <c r="E23" s="7" t="s">
        <v>109</v>
      </c>
      <c r="F23" s="7" t="s">
        <v>183</v>
      </c>
      <c r="G23" s="10" t="n">
        <v>75</v>
      </c>
      <c r="H23" s="8" t="n">
        <v>3</v>
      </c>
      <c r="I23" s="10" t="n">
        <v>15</v>
      </c>
      <c r="J23" s="10" t="n">
        <v>2</v>
      </c>
      <c r="K23" s="10" t="n">
        <v>0</v>
      </c>
      <c r="L23" s="10" t="n">
        <v>0</v>
      </c>
      <c r="M23" s="10" t="n">
        <v>0</v>
      </c>
      <c r="N23" s="10" t="n">
        <v>1</v>
      </c>
      <c r="O23" s="10" t="n">
        <v>3</v>
      </c>
      <c r="P23" s="10" t="n">
        <v>0</v>
      </c>
      <c r="Q23" s="10" t="n">
        <v>0</v>
      </c>
      <c r="R23" s="15" t="s">
        <v>40</v>
      </c>
      <c r="S23" s="10" t="n">
        <v>40</v>
      </c>
      <c r="T23" s="7" t="s">
        <v>116</v>
      </c>
      <c r="U23" s="7" t="s">
        <v>199</v>
      </c>
      <c r="V23" s="16" t="n">
        <f aca="false">VLOOKUP(MIN(J23,3),係数!$A$19:$B$22,2,TRUE())*IF(L23=1,係数!$B$31,1)*VLOOKUP(M23,係数!$A$25:$B$28,2,TRUE())*IF(P23=1,係数!$B$32,1)</f>
        <v>1.2</v>
      </c>
      <c r="W23" s="17" t="n">
        <f aca="false">INDEX(係数!$B$10:$B$12,MATCH(R23,係数!$A$10:$A$12,0))</f>
        <v>8</v>
      </c>
      <c r="X23" s="17" t="n">
        <f aca="false">H23*(係数!$B$5+係数!$B$4*V23*(S23/60+係数!$B$6+Q23*係数!$B$7))+N23*係数!$B$13*係数!$B$4*V23*(S23/60+係数!$B$6+Q23*係数!$B$7)</f>
        <v>12.8</v>
      </c>
      <c r="Y23" s="17" t="n">
        <f aca="false">MAX(H23-1,0)*係数!$B$8+O23*係数!$B$9</f>
        <v>14</v>
      </c>
      <c r="Z23" s="18" t="n">
        <f aca="false">ROUND((W23+X23+Y23)*AI23,0)</f>
        <v>35</v>
      </c>
      <c r="AA23" s="17" t="n">
        <f aca="false">INDEX(係数!$C$10:$C$12,MATCH(R23,係数!$A$10:$A$12,0))</f>
        <v>12</v>
      </c>
      <c r="AB23" s="17" t="n">
        <f aca="false">H23*(係数!$C$5+係数!$C$4*V23*(S23/60+係数!$C$6+Q23*係数!$C$7))+N23*係数!$C$13*係数!$C$4*V23*(S23/60+係数!$C$6+Q23*係数!$C$7)</f>
        <v>22.98</v>
      </c>
      <c r="AC23" s="17" t="n">
        <f aca="false">MAX(H23-1,0)*係数!$C$8+O23*係数!$C$9</f>
        <v>24</v>
      </c>
      <c r="AD23" s="18" t="n">
        <f aca="false">ROUND((AA23+AB23+AC23)*AI23,0)</f>
        <v>59</v>
      </c>
      <c r="AE23" s="17" t="n">
        <f aca="false">INDEX(係数!$D$10:$D$12,MATCH(R23,係数!$A$10:$A$12,0))</f>
        <v>18</v>
      </c>
      <c r="AF23" s="17" t="n">
        <f aca="false">H23*(係数!$D$5+係数!$D$4*V23*(S23/60+係数!$D$6+Q23*係数!$D$7))+N23*係数!$D$13*係数!$D$4*V23*(S23/60+係数!$D$6+Q23*係数!$D$7)</f>
        <v>33.44</v>
      </c>
      <c r="AG23" s="17" t="n">
        <f aca="false">MAX(H23-1,0)*係数!$D$8+O23*係数!$D$9</f>
        <v>34</v>
      </c>
      <c r="AH23" s="18" t="n">
        <f aca="false">ROUND((AE23+AF23+AG23)*AI23,0)</f>
        <v>85</v>
      </c>
      <c r="AI23" s="19" t="n">
        <v>1</v>
      </c>
      <c r="AJ23" s="7" t="str">
        <f aca="false">IF(G23&gt;=AH23,"余裕あり",IF(G23&gt;=AD23,"適正",IF(G23&gt;=Z23,"ギリギリ","不足")))</f>
        <v>適正</v>
      </c>
      <c r="AK23" s="11" t="n">
        <f aca="false">G23-AD23</f>
        <v>16</v>
      </c>
      <c r="AL23" s="20" t="n">
        <v>0.604166666666667</v>
      </c>
      <c r="AM23" s="20" t="n">
        <v>0.65625</v>
      </c>
    </row>
    <row r="24" customFormat="false" ht="15" hidden="false" customHeight="false" outlineLevel="0" collapsed="false">
      <c r="A24" s="11" t="s">
        <v>200</v>
      </c>
      <c r="B24" s="14" t="n">
        <v>46333</v>
      </c>
      <c r="C24" s="11" t="s">
        <v>191</v>
      </c>
      <c r="D24" s="7" t="s">
        <v>201</v>
      </c>
      <c r="E24" s="7" t="s">
        <v>109</v>
      </c>
      <c r="F24" s="7" t="s">
        <v>183</v>
      </c>
      <c r="G24" s="10" t="n">
        <v>15</v>
      </c>
      <c r="H24" s="8" t="n">
        <v>2</v>
      </c>
      <c r="I24" s="10" t="n">
        <v>2</v>
      </c>
      <c r="J24" s="10" t="n">
        <v>2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2</v>
      </c>
      <c r="P24" s="10" t="n">
        <v>0</v>
      </c>
      <c r="Q24" s="10" t="n">
        <v>1</v>
      </c>
      <c r="R24" s="15" t="s">
        <v>40</v>
      </c>
      <c r="S24" s="10" t="n">
        <v>20</v>
      </c>
      <c r="T24" s="7" t="s">
        <v>116</v>
      </c>
      <c r="U24" s="7" t="s">
        <v>202</v>
      </c>
      <c r="V24" s="16" t="n">
        <f aca="false">VLOOKUP(MIN(J24,3),係数!$A$19:$B$22,2,TRUE())*IF(L24=1,係数!$B$31,1)*VLOOKUP(M24,係数!$A$25:$B$28,2,TRUE())*IF(P24=1,係数!$B$32,1)</f>
        <v>1.2</v>
      </c>
      <c r="W24" s="17" t="n">
        <f aca="false">INDEX(係数!$B$10:$B$12,MATCH(R24,係数!$A$10:$A$12,0))</f>
        <v>8</v>
      </c>
      <c r="X24" s="17" t="n">
        <f aca="false">H24*(係数!$B$5+係数!$B$4*V24*(S24/60+係数!$B$6+Q24*係数!$B$7))+N24*係数!$B$13*係数!$B$4*V24*(S24/60+係数!$B$6+Q24*係数!$B$7)</f>
        <v>13.2</v>
      </c>
      <c r="Y24" s="17" t="n">
        <f aca="false">MAX(H24-1,0)*係数!$B$8+O24*係数!$B$9</f>
        <v>8</v>
      </c>
      <c r="Z24" s="18" t="n">
        <f aca="false">ROUND((W24+X24+Y24)*AI24,0)</f>
        <v>29</v>
      </c>
      <c r="AA24" s="17" t="n">
        <f aca="false">INDEX(係数!$C$10:$C$12,MATCH(R24,係数!$A$10:$A$12,0))</f>
        <v>12</v>
      </c>
      <c r="AB24" s="17" t="n">
        <f aca="false">H24*(係数!$C$5+係数!$C$4*V24*(S24/60+係数!$C$6+Q24*係数!$C$7))+N24*係数!$C$13*係数!$C$4*V24*(S24/60+係数!$C$6+Q24*係数!$C$7)</f>
        <v>29.16</v>
      </c>
      <c r="AC24" s="17" t="n">
        <f aca="false">MAX(H24-1,0)*係数!$C$8+O24*係数!$C$9</f>
        <v>14</v>
      </c>
      <c r="AD24" s="18" t="n">
        <f aca="false">ROUND((AA24+AB24+AC24)*AI24,0)</f>
        <v>55</v>
      </c>
      <c r="AE24" s="17" t="n">
        <f aca="false">INDEX(係数!$D$10:$D$12,MATCH(R24,係数!$A$10:$A$12,0))</f>
        <v>18</v>
      </c>
      <c r="AF24" s="17" t="n">
        <f aca="false">H24*(係数!$D$5+係数!$D$4*V24*(S24/60+係数!$D$6+Q24*係数!$D$7))+N24*係数!$D$13*係数!$D$4*V24*(S24/60+係数!$D$6+Q24*係数!$D$7)</f>
        <v>50.48</v>
      </c>
      <c r="AG24" s="17" t="n">
        <f aca="false">MAX(H24-1,0)*係数!$D$8+O24*係数!$D$9</f>
        <v>20</v>
      </c>
      <c r="AH24" s="18" t="n">
        <f aca="false">ROUND((AE24+AF24+AG24)*AI24,0)</f>
        <v>88</v>
      </c>
      <c r="AI24" s="19" t="n">
        <v>1</v>
      </c>
      <c r="AJ24" s="7" t="str">
        <f aca="false">IF(G24&gt;=AH24,"余裕あり",IF(G24&gt;=AD24,"適正",IF(G24&gt;=Z24,"ギリギリ","不足")))</f>
        <v>不足</v>
      </c>
      <c r="AK24" s="11" t="n">
        <f aca="false">G24-AD24</f>
        <v>-40</v>
      </c>
      <c r="AL24" s="20" t="n">
        <v>0.670138888888889</v>
      </c>
      <c r="AM24" s="20" t="n">
        <v>0.680555555555556</v>
      </c>
    </row>
    <row r="25" customFormat="false" ht="15" hidden="false" customHeight="false" outlineLevel="0" collapsed="false">
      <c r="A25" s="11" t="s">
        <v>203</v>
      </c>
      <c r="B25" s="14" t="n">
        <v>46333</v>
      </c>
      <c r="C25" s="11" t="s">
        <v>204</v>
      </c>
      <c r="D25" s="7" t="s">
        <v>205</v>
      </c>
      <c r="E25" s="7" t="s">
        <v>109</v>
      </c>
      <c r="F25" s="7" t="s">
        <v>188</v>
      </c>
      <c r="G25" s="10" t="n">
        <v>45</v>
      </c>
      <c r="H25" s="10" t="n">
        <v>1</v>
      </c>
      <c r="I25" s="10" t="n">
        <v>0</v>
      </c>
      <c r="J25" s="10" t="n">
        <v>2</v>
      </c>
      <c r="K25" s="10" t="n">
        <v>0</v>
      </c>
      <c r="L25" s="10" t="n">
        <v>0</v>
      </c>
      <c r="M25" s="10" t="n">
        <v>0</v>
      </c>
      <c r="N25" s="10" t="n">
        <v>1</v>
      </c>
      <c r="O25" s="10" t="n">
        <v>1</v>
      </c>
      <c r="P25" s="10" t="n">
        <v>0</v>
      </c>
      <c r="Q25" s="10" t="n">
        <v>0</v>
      </c>
      <c r="R25" s="15" t="s">
        <v>40</v>
      </c>
      <c r="S25" s="10" t="n">
        <v>30</v>
      </c>
      <c r="T25" s="7" t="s">
        <v>116</v>
      </c>
      <c r="U25" s="11" t="s">
        <v>206</v>
      </c>
      <c r="V25" s="16" t="n">
        <f aca="false">VLOOKUP(MIN(J25,3),係数!$A$19:$B$22,2,TRUE())*IF(L25=1,係数!$B$31,1)*VLOOKUP(M25,係数!$A$25:$B$28,2,TRUE())*IF(P25=1,係数!$B$32,1)</f>
        <v>1.2</v>
      </c>
      <c r="W25" s="17" t="n">
        <f aca="false">INDEX(係数!$B$10:$B$12,MATCH(R25,係数!$A$10:$A$12,0))</f>
        <v>8</v>
      </c>
      <c r="X25" s="17" t="n">
        <f aca="false">H25*(係数!$B$5+係数!$B$4*V25*(S25/60+係数!$B$6+Q25*係数!$B$7))+N25*係数!$B$13*係数!$B$4*V25*(S25/60+係数!$B$6+Q25*係数!$B$7)</f>
        <v>4.6</v>
      </c>
      <c r="Y25" s="17" t="n">
        <f aca="false">MAX(H25-1,0)*係数!$B$8+O25*係数!$B$9</f>
        <v>2</v>
      </c>
      <c r="Z25" s="18" t="n">
        <f aca="false">ROUND((W25+X25+Y25)*AI25,0)</f>
        <v>15</v>
      </c>
      <c r="AA25" s="17" t="n">
        <f aca="false">INDEX(係数!$C$10:$C$12,MATCH(R25,係数!$A$10:$A$12,0))</f>
        <v>12</v>
      </c>
      <c r="AB25" s="17" t="n">
        <f aca="false">H25*(係数!$C$5+係数!$C$4*V25*(S25/60+係数!$C$6+Q25*係数!$C$7))+N25*係数!$C$13*係数!$C$4*V25*(S25/60+係数!$C$6+Q25*係数!$C$7)</f>
        <v>8.52</v>
      </c>
      <c r="AC25" s="17" t="n">
        <f aca="false">MAX(H25-1,0)*係数!$C$8+O25*係数!$C$9</f>
        <v>4</v>
      </c>
      <c r="AD25" s="18" t="n">
        <f aca="false">ROUND((AA25+AB25+AC25)*AI25,0)</f>
        <v>25</v>
      </c>
      <c r="AE25" s="17" t="n">
        <f aca="false">INDEX(係数!$D$10:$D$12,MATCH(R25,係数!$A$10:$A$12,0))</f>
        <v>18</v>
      </c>
      <c r="AF25" s="17" t="n">
        <f aca="false">H25*(係数!$D$5+係数!$D$4*V25*(S25/60+係数!$D$6+Q25*係数!$D$7))+N25*係数!$D$13*係数!$D$4*V25*(S25/60+係数!$D$6+Q25*係数!$D$7)</f>
        <v>12.71</v>
      </c>
      <c r="AG25" s="17" t="n">
        <f aca="false">MAX(H25-1,0)*係数!$D$8+O25*係数!$D$9</f>
        <v>6</v>
      </c>
      <c r="AH25" s="18" t="n">
        <f aca="false">ROUND((AE25+AF25+AG25)*AI25,0)</f>
        <v>37</v>
      </c>
      <c r="AI25" s="19" t="n">
        <v>1</v>
      </c>
      <c r="AJ25" s="7" t="str">
        <f aca="false">IF(G25&gt;=AH25,"余裕あり",IF(G25&gt;=AD25,"適正",IF(G25&gt;=Z25,"ギリギリ","不足")))</f>
        <v>余裕あり</v>
      </c>
      <c r="AK25" s="11" t="n">
        <f aca="false">G25-AD25</f>
        <v>20</v>
      </c>
      <c r="AL25" s="20" t="n">
        <v>0.6875</v>
      </c>
      <c r="AM25" s="20" t="n">
        <v>0.71875</v>
      </c>
    </row>
    <row r="26" customFormat="false" ht="15" hidden="false" customHeight="false" outlineLevel="0" collapsed="false">
      <c r="A26" s="9" t="s">
        <v>207</v>
      </c>
      <c r="B26" s="5"/>
      <c r="C26" s="5"/>
      <c r="D26" s="5"/>
      <c r="E26" s="5"/>
      <c r="F26" s="5"/>
      <c r="G26" s="9" t="n">
        <f aca="false">SUM(G4:G25)</f>
        <v>1120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9" t="n">
        <f aca="false">SUM(Z4:Z25)</f>
        <v>783</v>
      </c>
      <c r="AA26" s="5"/>
      <c r="AB26" s="5"/>
      <c r="AC26" s="5"/>
      <c r="AD26" s="9" t="n">
        <f aca="false">SUM(AD4:AD25)</f>
        <v>1355</v>
      </c>
      <c r="AE26" s="5"/>
      <c r="AF26" s="5"/>
      <c r="AG26" s="5"/>
      <c r="AH26" s="9" t="n">
        <f aca="false">SUM(AH4:AH25)</f>
        <v>2002</v>
      </c>
      <c r="AI26" s="5"/>
      <c r="AJ26" s="5"/>
      <c r="AK26" s="5"/>
      <c r="AL26" s="5"/>
      <c r="AM26" s="5"/>
    </row>
  </sheetData>
  <conditionalFormatting sqref="AJ4:AJ25">
    <cfRule type="cellIs" priority="2" operator="equal" aboveAverage="0" equalAverage="0" bottom="0" percent="0" rank="0" text="" dxfId="0">
      <formula>"不足"</formula>
    </cfRule>
    <cfRule type="cellIs" priority="3" operator="equal" aboveAverage="0" equalAverage="0" bottom="0" percent="0" rank="0" text="" dxfId="1">
      <formula>"ギリギリ"</formula>
    </cfRule>
    <cfRule type="cellIs" priority="4" operator="equal" aboveAverage="0" equalAverage="0" bottom="0" percent="0" rank="0" text="" dxfId="2">
      <formula>"余裕あり"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4" t="s">
        <v>208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209</v>
      </c>
      <c r="B3" s="6" t="s">
        <v>22</v>
      </c>
      <c r="C3" s="6" t="s">
        <v>23</v>
      </c>
      <c r="D3" s="6" t="s">
        <v>210</v>
      </c>
      <c r="E3" s="21"/>
      <c r="F3" s="5"/>
      <c r="G3" s="5"/>
      <c r="H3" s="22" t="s">
        <v>211</v>
      </c>
    </row>
    <row r="4" customFormat="false" ht="15" hidden="false" customHeight="false" outlineLevel="0" collapsed="false">
      <c r="A4" s="7" t="s">
        <v>212</v>
      </c>
      <c r="B4" s="8" t="n">
        <v>0</v>
      </c>
      <c r="C4" s="8" t="n">
        <v>3</v>
      </c>
      <c r="D4" s="8" t="n">
        <v>5</v>
      </c>
      <c r="E4" s="11"/>
      <c r="F4" s="5"/>
      <c r="G4" s="5"/>
      <c r="H4" s="3" t="s">
        <v>213</v>
      </c>
    </row>
    <row r="5" customFormat="false" ht="15" hidden="false" customHeight="false" outlineLevel="0" collapsed="false">
      <c r="A5" s="7" t="s">
        <v>214</v>
      </c>
      <c r="B5" s="8" t="n">
        <v>5</v>
      </c>
      <c r="C5" s="8" t="n">
        <v>10</v>
      </c>
      <c r="D5" s="8" t="n">
        <v>15</v>
      </c>
      <c r="E5" s="11"/>
      <c r="F5" s="5"/>
      <c r="G5" s="5"/>
      <c r="H5" s="3" t="s">
        <v>215</v>
      </c>
    </row>
    <row r="6" customFormat="false" ht="15" hidden="false" customHeight="false" outlineLevel="0" collapsed="false">
      <c r="A6" s="7" t="s">
        <v>216</v>
      </c>
      <c r="B6" s="8" t="n">
        <v>5</v>
      </c>
      <c r="C6" s="8" t="n">
        <v>8</v>
      </c>
      <c r="D6" s="8" t="n">
        <v>12</v>
      </c>
      <c r="E6" s="11"/>
      <c r="F6" s="5"/>
      <c r="G6" s="5"/>
      <c r="H6" s="3" t="s">
        <v>217</v>
      </c>
    </row>
    <row r="7" customFormat="false" ht="15" hidden="false" customHeight="false" outlineLevel="0" collapsed="false">
      <c r="A7" s="7" t="s">
        <v>218</v>
      </c>
      <c r="B7" s="8" t="n">
        <v>8</v>
      </c>
      <c r="C7" s="8" t="n">
        <v>12</v>
      </c>
      <c r="D7" s="8" t="n">
        <v>18</v>
      </c>
      <c r="E7" s="11"/>
      <c r="F7" s="5"/>
      <c r="G7" s="5"/>
      <c r="H7" s="3" t="s">
        <v>219</v>
      </c>
    </row>
    <row r="8" customFormat="false" ht="15" hidden="false" customHeight="false" outlineLevel="0" collapsed="false">
      <c r="A8" s="7" t="s">
        <v>220</v>
      </c>
      <c r="B8" s="8" t="n">
        <v>10</v>
      </c>
      <c r="C8" s="8" t="n">
        <v>15</v>
      </c>
      <c r="D8" s="8" t="n">
        <v>20</v>
      </c>
      <c r="E8" s="11"/>
      <c r="F8" s="5"/>
      <c r="G8" s="5"/>
      <c r="H8" s="3" t="s">
        <v>221</v>
      </c>
    </row>
    <row r="9" customFormat="false" ht="15" hidden="false" customHeight="false" outlineLevel="0" collapsed="false">
      <c r="A9" s="7" t="s">
        <v>222</v>
      </c>
      <c r="B9" s="8" t="n">
        <v>10</v>
      </c>
      <c r="C9" s="8" t="n">
        <v>15</v>
      </c>
      <c r="D9" s="8" t="n">
        <v>25</v>
      </c>
      <c r="E9" s="11"/>
      <c r="F9" s="5"/>
      <c r="G9" s="5"/>
      <c r="H9" s="3" t="s">
        <v>223</v>
      </c>
    </row>
    <row r="10" customFormat="false" ht="15" hidden="false" customHeight="false" outlineLevel="0" collapsed="false">
      <c r="A10" s="7" t="s">
        <v>224</v>
      </c>
      <c r="B10" s="8" t="n">
        <v>20</v>
      </c>
      <c r="C10" s="8" t="n">
        <v>30</v>
      </c>
      <c r="D10" s="8" t="n">
        <v>45</v>
      </c>
      <c r="E10" s="11"/>
      <c r="F10" s="5"/>
      <c r="G10" s="5"/>
      <c r="H10" s="3" t="s">
        <v>225</v>
      </c>
    </row>
    <row r="11" customFormat="false" ht="15" hidden="false" customHeight="false" outlineLevel="0" collapsed="false">
      <c r="A11" s="7" t="s">
        <v>226</v>
      </c>
      <c r="B11" s="8" t="n">
        <v>10</v>
      </c>
      <c r="C11" s="8" t="n">
        <v>20</v>
      </c>
      <c r="D11" s="8" t="n">
        <v>30</v>
      </c>
      <c r="E11" s="11"/>
      <c r="F11" s="5"/>
      <c r="G11" s="5"/>
      <c r="H11" s="3" t="s">
        <v>227</v>
      </c>
    </row>
    <row r="12" customFormat="false" ht="15" hidden="false" customHeight="false" outlineLevel="0" collapsed="false">
      <c r="A12" s="7" t="s">
        <v>228</v>
      </c>
      <c r="B12" s="8" t="n">
        <v>0</v>
      </c>
      <c r="C12" s="8" t="n">
        <v>5</v>
      </c>
      <c r="D12" s="8" t="n">
        <v>15</v>
      </c>
      <c r="E12" s="11"/>
      <c r="F12" s="5"/>
      <c r="G12" s="5"/>
      <c r="H12" s="2" t="s">
        <v>229</v>
      </c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6.85" hidden="false" customHeight="false" outlineLevel="0" collapsed="false">
      <c r="A15" s="6" t="s">
        <v>69</v>
      </c>
      <c r="B15" s="6" t="s">
        <v>230</v>
      </c>
      <c r="C15" s="6" t="s">
        <v>209</v>
      </c>
      <c r="D15" s="6" t="s">
        <v>22</v>
      </c>
      <c r="E15" s="6" t="s">
        <v>23</v>
      </c>
      <c r="F15" s="6" t="s">
        <v>210</v>
      </c>
      <c r="G15" s="6" t="s">
        <v>231</v>
      </c>
      <c r="H15" s="5"/>
    </row>
    <row r="16" customFormat="false" ht="15" hidden="false" customHeight="false" outlineLevel="0" collapsed="false">
      <c r="A16" s="11" t="s">
        <v>107</v>
      </c>
      <c r="B16" s="11" t="s">
        <v>232</v>
      </c>
      <c r="C16" s="15" t="s">
        <v>220</v>
      </c>
      <c r="D16" s="11" t="n">
        <f aca="false">INDEX($B$4:$B$12,MATCH($C16,$A$4:$A$12,0))</f>
        <v>10</v>
      </c>
      <c r="E16" s="11" t="n">
        <f aca="false">INDEX($C$4:$C$12,MATCH($C16,$A$4:$A$12,0))</f>
        <v>15</v>
      </c>
      <c r="F16" s="11" t="n">
        <f aca="false">INDEX($D$4:$D$12,MATCH($C16,$A$4:$A$12,0))</f>
        <v>20</v>
      </c>
      <c r="G16" s="10" t="n">
        <v>10</v>
      </c>
      <c r="H16" s="5"/>
    </row>
    <row r="17" customFormat="false" ht="15" hidden="false" customHeight="false" outlineLevel="0" collapsed="false">
      <c r="A17" s="11" t="s">
        <v>107</v>
      </c>
      <c r="B17" s="11" t="s">
        <v>233</v>
      </c>
      <c r="C17" s="15" t="s">
        <v>220</v>
      </c>
      <c r="D17" s="11" t="n">
        <f aca="false">INDEX($B$4:$B$12,MATCH($C17,$A$4:$A$12,0))</f>
        <v>10</v>
      </c>
      <c r="E17" s="11" t="n">
        <f aca="false">INDEX($C$4:$C$12,MATCH($C17,$A$4:$A$12,0))</f>
        <v>15</v>
      </c>
      <c r="F17" s="11" t="n">
        <f aca="false">INDEX($D$4:$D$12,MATCH($C17,$A$4:$A$12,0))</f>
        <v>20</v>
      </c>
      <c r="G17" s="10" t="n">
        <v>0</v>
      </c>
      <c r="H17" s="5"/>
    </row>
    <row r="18" customFormat="false" ht="15" hidden="false" customHeight="false" outlineLevel="0" collapsed="false">
      <c r="A18" s="11" t="s">
        <v>107</v>
      </c>
      <c r="B18" s="11" t="s">
        <v>234</v>
      </c>
      <c r="C18" s="15" t="s">
        <v>212</v>
      </c>
      <c r="D18" s="11" t="n">
        <f aca="false">INDEX($B$4:$B$12,MATCH($C18,$A$4:$A$12,0))</f>
        <v>0</v>
      </c>
      <c r="E18" s="11" t="n">
        <f aca="false">INDEX($C$4:$C$12,MATCH($C18,$A$4:$A$12,0))</f>
        <v>3</v>
      </c>
      <c r="F18" s="11" t="n">
        <f aca="false">INDEX($D$4:$D$12,MATCH($C18,$A$4:$A$12,0))</f>
        <v>5</v>
      </c>
      <c r="G18" s="10" t="n">
        <v>10</v>
      </c>
      <c r="H18" s="5"/>
    </row>
    <row r="19" customFormat="false" ht="15" hidden="false" customHeight="false" outlineLevel="0" collapsed="false">
      <c r="A19" s="11" t="s">
        <v>128</v>
      </c>
      <c r="B19" s="11" t="s">
        <v>235</v>
      </c>
      <c r="C19" s="15" t="s">
        <v>214</v>
      </c>
      <c r="D19" s="11" t="n">
        <f aca="false">INDEX($B$4:$B$12,MATCH($C19,$A$4:$A$12,0))</f>
        <v>5</v>
      </c>
      <c r="E19" s="11" t="n">
        <f aca="false">INDEX($C$4:$C$12,MATCH($C19,$A$4:$A$12,0))</f>
        <v>10</v>
      </c>
      <c r="F19" s="11" t="n">
        <f aca="false">INDEX($D$4:$D$12,MATCH($C19,$A$4:$A$12,0))</f>
        <v>15</v>
      </c>
      <c r="G19" s="10" t="n">
        <v>10</v>
      </c>
      <c r="H19" s="5"/>
    </row>
    <row r="20" customFormat="false" ht="15" hidden="false" customHeight="false" outlineLevel="0" collapsed="false">
      <c r="A20" s="11" t="s">
        <v>128</v>
      </c>
      <c r="B20" s="11" t="s">
        <v>236</v>
      </c>
      <c r="C20" s="15" t="s">
        <v>214</v>
      </c>
      <c r="D20" s="11" t="n">
        <f aca="false">INDEX($B$4:$B$12,MATCH($C20,$A$4:$A$12,0))</f>
        <v>5</v>
      </c>
      <c r="E20" s="11" t="n">
        <f aca="false">INDEX($C$4:$C$12,MATCH($C20,$A$4:$A$12,0))</f>
        <v>10</v>
      </c>
      <c r="F20" s="11" t="n">
        <f aca="false">INDEX($D$4:$D$12,MATCH($C20,$A$4:$A$12,0))</f>
        <v>15</v>
      </c>
      <c r="G20" s="10" t="n">
        <v>0</v>
      </c>
      <c r="H20" s="5"/>
    </row>
    <row r="21" customFormat="false" ht="15" hidden="false" customHeight="false" outlineLevel="0" collapsed="false">
      <c r="A21" s="11" t="s">
        <v>128</v>
      </c>
      <c r="B21" s="11" t="s">
        <v>237</v>
      </c>
      <c r="C21" s="15" t="s">
        <v>216</v>
      </c>
      <c r="D21" s="11" t="n">
        <f aca="false">INDEX($B$4:$B$12,MATCH($C21,$A$4:$A$12,0))</f>
        <v>5</v>
      </c>
      <c r="E21" s="11" t="n">
        <f aca="false">INDEX($C$4:$C$12,MATCH($C21,$A$4:$A$12,0))</f>
        <v>8</v>
      </c>
      <c r="F21" s="11" t="n">
        <f aca="false">INDEX($D$4:$D$12,MATCH($C21,$A$4:$A$12,0))</f>
        <v>12</v>
      </c>
      <c r="G21" s="10" t="n">
        <v>0</v>
      </c>
      <c r="H21" s="5"/>
    </row>
    <row r="22" customFormat="false" ht="15" hidden="false" customHeight="false" outlineLevel="0" collapsed="false">
      <c r="A22" s="11" t="s">
        <v>128</v>
      </c>
      <c r="B22" s="11" t="s">
        <v>238</v>
      </c>
      <c r="C22" s="15" t="s">
        <v>216</v>
      </c>
      <c r="D22" s="11" t="n">
        <f aca="false">INDEX($B$4:$B$12,MATCH($C22,$A$4:$A$12,0))</f>
        <v>5</v>
      </c>
      <c r="E22" s="11" t="n">
        <f aca="false">INDEX($C$4:$C$12,MATCH($C22,$A$4:$A$12,0))</f>
        <v>8</v>
      </c>
      <c r="F22" s="11" t="n">
        <f aca="false">INDEX($D$4:$D$12,MATCH($C22,$A$4:$A$12,0))</f>
        <v>12</v>
      </c>
      <c r="G22" s="10" t="n">
        <v>0</v>
      </c>
      <c r="H22" s="5"/>
    </row>
    <row r="23" customFormat="false" ht="15" hidden="false" customHeight="false" outlineLevel="0" collapsed="false">
      <c r="A23" s="11" t="s">
        <v>153</v>
      </c>
      <c r="B23" s="11" t="s">
        <v>239</v>
      </c>
      <c r="C23" s="15" t="s">
        <v>214</v>
      </c>
      <c r="D23" s="11" t="n">
        <f aca="false">INDEX($B$4:$B$12,MATCH($C23,$A$4:$A$12,0))</f>
        <v>5</v>
      </c>
      <c r="E23" s="11" t="n">
        <f aca="false">INDEX($C$4:$C$12,MATCH($C23,$A$4:$A$12,0))</f>
        <v>10</v>
      </c>
      <c r="F23" s="11" t="n">
        <f aca="false">INDEX($D$4:$D$12,MATCH($C23,$A$4:$A$12,0))</f>
        <v>15</v>
      </c>
      <c r="G23" s="10" t="n">
        <v>0</v>
      </c>
      <c r="H23" s="5"/>
    </row>
    <row r="24" customFormat="false" ht="15" hidden="false" customHeight="false" outlineLevel="0" collapsed="false">
      <c r="A24" s="11" t="s">
        <v>159</v>
      </c>
      <c r="B24" s="11" t="s">
        <v>240</v>
      </c>
      <c r="C24" s="15" t="s">
        <v>222</v>
      </c>
      <c r="D24" s="11" t="n">
        <f aca="false">INDEX($B$4:$B$12,MATCH($C24,$A$4:$A$12,0))</f>
        <v>10</v>
      </c>
      <c r="E24" s="11" t="n">
        <f aca="false">INDEX($C$4:$C$12,MATCH($C24,$A$4:$A$12,0))</f>
        <v>15</v>
      </c>
      <c r="F24" s="11" t="n">
        <f aca="false">INDEX($D$4:$D$12,MATCH($C24,$A$4:$A$12,0))</f>
        <v>25</v>
      </c>
      <c r="G24" s="10" t="n">
        <v>10</v>
      </c>
      <c r="H24" s="5"/>
    </row>
    <row r="25" customFormat="false" ht="15" hidden="false" customHeight="false" outlineLevel="0" collapsed="false">
      <c r="A25" s="11" t="s">
        <v>159</v>
      </c>
      <c r="B25" s="11" t="s">
        <v>241</v>
      </c>
      <c r="C25" s="15" t="s">
        <v>216</v>
      </c>
      <c r="D25" s="11" t="n">
        <f aca="false">INDEX($B$4:$B$12,MATCH($C25,$A$4:$A$12,0))</f>
        <v>5</v>
      </c>
      <c r="E25" s="11" t="n">
        <f aca="false">INDEX($C$4:$C$12,MATCH($C25,$A$4:$A$12,0))</f>
        <v>8</v>
      </c>
      <c r="F25" s="11" t="n">
        <f aca="false">INDEX($D$4:$D$12,MATCH($C25,$A$4:$A$12,0))</f>
        <v>12</v>
      </c>
      <c r="G25" s="10" t="n">
        <v>0</v>
      </c>
      <c r="H25" s="5"/>
    </row>
    <row r="26" customFormat="false" ht="15" hidden="false" customHeight="false" outlineLevel="0" collapsed="false">
      <c r="A26" s="11" t="s">
        <v>159</v>
      </c>
      <c r="B26" s="11" t="s">
        <v>242</v>
      </c>
      <c r="C26" s="15" t="s">
        <v>220</v>
      </c>
      <c r="D26" s="11" t="n">
        <f aca="false">INDEX($B$4:$B$12,MATCH($C26,$A$4:$A$12,0))</f>
        <v>10</v>
      </c>
      <c r="E26" s="11" t="n">
        <f aca="false">INDEX($C$4:$C$12,MATCH($C26,$A$4:$A$12,0))</f>
        <v>15</v>
      </c>
      <c r="F26" s="11" t="n">
        <f aca="false">INDEX($D$4:$D$12,MATCH($C26,$A$4:$A$12,0))</f>
        <v>20</v>
      </c>
      <c r="G26" s="10" t="n">
        <v>0</v>
      </c>
      <c r="H26" s="5"/>
    </row>
    <row r="27" customFormat="false" ht="15" hidden="false" customHeight="false" outlineLevel="0" collapsed="false">
      <c r="A27" s="11" t="s">
        <v>159</v>
      </c>
      <c r="B27" s="11" t="s">
        <v>243</v>
      </c>
      <c r="C27" s="15" t="s">
        <v>220</v>
      </c>
      <c r="D27" s="11" t="n">
        <f aca="false">INDEX($B$4:$B$12,MATCH($C27,$A$4:$A$12,0))</f>
        <v>10</v>
      </c>
      <c r="E27" s="11" t="n">
        <f aca="false">INDEX($C$4:$C$12,MATCH($C27,$A$4:$A$12,0))</f>
        <v>15</v>
      </c>
      <c r="F27" s="11" t="n">
        <f aca="false">INDEX($D$4:$D$12,MATCH($C27,$A$4:$A$12,0))</f>
        <v>20</v>
      </c>
      <c r="G27" s="10" t="n">
        <v>0</v>
      </c>
      <c r="H27" s="5"/>
    </row>
    <row r="28" customFormat="false" ht="15" hidden="false" customHeight="false" outlineLevel="0" collapsed="false">
      <c r="A28" s="11" t="s">
        <v>181</v>
      </c>
      <c r="B28" s="11" t="s">
        <v>244</v>
      </c>
      <c r="C28" s="15" t="s">
        <v>218</v>
      </c>
      <c r="D28" s="11" t="n">
        <f aca="false">INDEX($B$4:$B$12,MATCH($C28,$A$4:$A$12,0))</f>
        <v>8</v>
      </c>
      <c r="E28" s="11" t="n">
        <f aca="false">INDEX($C$4:$C$12,MATCH($C28,$A$4:$A$12,0))</f>
        <v>12</v>
      </c>
      <c r="F28" s="11" t="n">
        <f aca="false">INDEX($D$4:$D$12,MATCH($C28,$A$4:$A$12,0))</f>
        <v>18</v>
      </c>
      <c r="G28" s="10" t="n">
        <v>0</v>
      </c>
      <c r="H28" s="5"/>
    </row>
    <row r="29" customFormat="false" ht="15" hidden="false" customHeight="false" outlineLevel="0" collapsed="false">
      <c r="A29" s="11" t="s">
        <v>191</v>
      </c>
      <c r="B29" s="11" t="s">
        <v>245</v>
      </c>
      <c r="C29" s="15" t="s">
        <v>212</v>
      </c>
      <c r="D29" s="11" t="n">
        <f aca="false">INDEX($B$4:$B$12,MATCH($C29,$A$4:$A$12,0))</f>
        <v>0</v>
      </c>
      <c r="E29" s="11" t="n">
        <f aca="false">INDEX($C$4:$C$12,MATCH($C29,$A$4:$A$12,0))</f>
        <v>3</v>
      </c>
      <c r="F29" s="11" t="n">
        <f aca="false">INDEX($D$4:$D$12,MATCH($C29,$A$4:$A$12,0))</f>
        <v>5</v>
      </c>
      <c r="G29" s="10" t="n">
        <v>10</v>
      </c>
      <c r="H29" s="5"/>
    </row>
    <row r="30" customFormat="false" ht="15" hidden="false" customHeight="false" outlineLevel="0" collapsed="false">
      <c r="A30" s="11" t="s">
        <v>191</v>
      </c>
      <c r="B30" s="11" t="s">
        <v>246</v>
      </c>
      <c r="C30" s="15" t="s">
        <v>224</v>
      </c>
      <c r="D30" s="11" t="n">
        <f aca="false">INDEX($B$4:$B$12,MATCH($C30,$A$4:$A$12,0))</f>
        <v>20</v>
      </c>
      <c r="E30" s="11" t="n">
        <f aca="false">INDEX($C$4:$C$12,MATCH($C30,$A$4:$A$12,0))</f>
        <v>30</v>
      </c>
      <c r="F30" s="11" t="n">
        <f aca="false">INDEX($D$4:$D$12,MATCH($C30,$A$4:$A$12,0))</f>
        <v>45</v>
      </c>
      <c r="G30" s="10" t="n">
        <v>30</v>
      </c>
      <c r="H30" s="5"/>
    </row>
    <row r="31" customFormat="false" ht="15" hidden="false" customHeight="false" outlineLevel="0" collapsed="false">
      <c r="A31" s="11" t="s">
        <v>191</v>
      </c>
      <c r="B31" s="11" t="s">
        <v>247</v>
      </c>
      <c r="C31" s="15" t="s">
        <v>226</v>
      </c>
      <c r="D31" s="11" t="n">
        <f aca="false">INDEX($B$4:$B$12,MATCH($C31,$A$4:$A$12,0))</f>
        <v>10</v>
      </c>
      <c r="E31" s="11" t="n">
        <f aca="false">INDEX($C$4:$C$12,MATCH($C31,$A$4:$A$12,0))</f>
        <v>20</v>
      </c>
      <c r="F31" s="11" t="n">
        <f aca="false">INDEX($D$4:$D$12,MATCH($C31,$A$4:$A$12,0))</f>
        <v>30</v>
      </c>
      <c r="G31" s="10" t="n">
        <v>20</v>
      </c>
      <c r="H31" s="5"/>
    </row>
    <row r="32" customFormat="false" ht="15" hidden="false" customHeight="false" outlineLevel="0" collapsed="false">
      <c r="A32" s="11" t="s">
        <v>191</v>
      </c>
      <c r="B32" s="11" t="s">
        <v>248</v>
      </c>
      <c r="C32" s="15" t="s">
        <v>228</v>
      </c>
      <c r="D32" s="11" t="n">
        <f aca="false">INDEX($B$4:$B$12,MATCH($C32,$A$4:$A$12,0))</f>
        <v>0</v>
      </c>
      <c r="E32" s="11" t="n">
        <f aca="false">INDEX($C$4:$C$12,MATCH($C32,$A$4:$A$12,0))</f>
        <v>5</v>
      </c>
      <c r="F32" s="11" t="n">
        <f aca="false">INDEX($D$4:$D$12,MATCH($C32,$A$4:$A$12,0))</f>
        <v>15</v>
      </c>
      <c r="G32" s="10" t="n">
        <v>10</v>
      </c>
      <c r="H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</row>
    <row r="35" customFormat="false" ht="16.4" hidden="false" customHeight="false" outlineLevel="0" collapsed="false">
      <c r="A35" s="4" t="s">
        <v>249</v>
      </c>
      <c r="B35" s="5"/>
      <c r="C35" s="5"/>
      <c r="D35" s="5"/>
      <c r="E35" s="5"/>
      <c r="F35" s="5"/>
      <c r="G35" s="5"/>
      <c r="H35" s="5"/>
    </row>
    <row r="36" customFormat="false" ht="15" hidden="false" customHeight="false" outlineLevel="0" collapsed="false">
      <c r="A36" s="11" t="s">
        <v>203</v>
      </c>
      <c r="B36" s="7" t="s">
        <v>250</v>
      </c>
      <c r="C36" s="5"/>
      <c r="D36" s="5"/>
      <c r="E36" s="5"/>
      <c r="F36" s="5"/>
      <c r="G36" s="5"/>
      <c r="H36" s="5"/>
    </row>
    <row r="37" customFormat="false" ht="15" hidden="false" customHeight="false" outlineLevel="0" collapsed="false">
      <c r="A37" s="11" t="s">
        <v>194</v>
      </c>
      <c r="B37" s="11" t="s">
        <v>251</v>
      </c>
      <c r="C37" s="5"/>
      <c r="D37" s="5"/>
      <c r="E37" s="5"/>
      <c r="F37" s="5"/>
      <c r="G37" s="5"/>
      <c r="H37" s="5"/>
    </row>
    <row r="38" customFormat="false" ht="15" hidden="false" customHeight="false" outlineLevel="0" collapsed="false">
      <c r="A38" s="11" t="s">
        <v>106</v>
      </c>
      <c r="B38" s="11" t="s">
        <v>252</v>
      </c>
      <c r="C38" s="5"/>
      <c r="D38" s="5"/>
      <c r="E38" s="5"/>
      <c r="F38" s="5"/>
      <c r="G38" s="5"/>
      <c r="H38" s="5"/>
    </row>
    <row r="39" customFormat="false" ht="15" hidden="false" customHeight="false" outlineLevel="0" collapsed="false">
      <c r="A39" s="11" t="s">
        <v>113</v>
      </c>
      <c r="B39" s="7" t="s">
        <v>253</v>
      </c>
      <c r="C39" s="5"/>
      <c r="D39" s="5"/>
      <c r="E39" s="5"/>
      <c r="F39" s="5"/>
      <c r="G39" s="5"/>
      <c r="H39" s="5"/>
    </row>
    <row r="40" customFormat="false" ht="15" hidden="false" customHeight="false" outlineLevel="0" collapsed="false">
      <c r="A40" s="11" t="s">
        <v>127</v>
      </c>
      <c r="B40" s="7" t="s">
        <v>254</v>
      </c>
      <c r="C40" s="5"/>
      <c r="D40" s="5"/>
      <c r="E40" s="5"/>
      <c r="F40" s="5"/>
      <c r="G40" s="5"/>
      <c r="H40" s="5"/>
    </row>
    <row r="41" customFormat="false" ht="15" hidden="false" customHeight="false" outlineLevel="0" collapsed="false">
      <c r="A41" s="11" t="s">
        <v>132</v>
      </c>
      <c r="B41" s="7" t="s">
        <v>255</v>
      </c>
      <c r="C41" s="5"/>
      <c r="D41" s="5"/>
      <c r="E41" s="5"/>
      <c r="F41" s="5"/>
      <c r="G41" s="5"/>
      <c r="H41" s="5"/>
    </row>
    <row r="42" customFormat="false" ht="15" hidden="false" customHeight="false" outlineLevel="0" collapsed="false">
      <c r="A42" s="11" t="s">
        <v>256</v>
      </c>
      <c r="B42" s="11" t="s">
        <v>257</v>
      </c>
      <c r="C42" s="5"/>
      <c r="D42" s="5"/>
      <c r="E42" s="5"/>
      <c r="F42" s="5"/>
      <c r="G42" s="5"/>
      <c r="H42" s="5"/>
    </row>
    <row r="43" customFormat="false" ht="15" hidden="false" customHeight="false" outlineLevel="0" collapsed="false">
      <c r="A43" s="11" t="s">
        <v>137</v>
      </c>
      <c r="B43" s="7" t="s">
        <v>258</v>
      </c>
      <c r="C43" s="5"/>
      <c r="D43" s="5"/>
      <c r="E43" s="5"/>
      <c r="F43" s="5"/>
      <c r="G43" s="5"/>
      <c r="H43" s="5"/>
    </row>
    <row r="44" customFormat="false" ht="15" hidden="false" customHeight="false" outlineLevel="0" collapsed="false">
      <c r="A44" s="11" t="s">
        <v>142</v>
      </c>
      <c r="B44" s="7" t="s">
        <v>259</v>
      </c>
      <c r="C44" s="5"/>
      <c r="D44" s="5"/>
      <c r="E44" s="5"/>
      <c r="F44" s="5"/>
      <c r="G44" s="5"/>
      <c r="H44" s="5"/>
    </row>
    <row r="45" customFormat="false" ht="15" hidden="false" customHeight="false" outlineLevel="0" collapsed="false">
      <c r="A45" s="11" t="s">
        <v>147</v>
      </c>
      <c r="B45" s="7" t="s">
        <v>260</v>
      </c>
      <c r="C45" s="5"/>
      <c r="D45" s="5"/>
      <c r="E45" s="5"/>
      <c r="F45" s="5"/>
      <c r="G45" s="5"/>
      <c r="H45" s="5"/>
    </row>
    <row r="46" customFormat="false" ht="15" hidden="false" customHeight="false" outlineLevel="0" collapsed="false">
      <c r="A46" s="11" t="s">
        <v>175</v>
      </c>
      <c r="B46" s="7" t="s">
        <v>261</v>
      </c>
      <c r="C46" s="5"/>
      <c r="D46" s="5"/>
      <c r="E46" s="5"/>
      <c r="F46" s="5"/>
      <c r="G46" s="5"/>
      <c r="H46" s="5"/>
    </row>
    <row r="47" customFormat="false" ht="15" hidden="false" customHeight="false" outlineLevel="0" collapsed="false">
      <c r="A47" s="11" t="s">
        <v>164</v>
      </c>
      <c r="B47" s="7" t="s">
        <v>262</v>
      </c>
      <c r="C47" s="5"/>
      <c r="D47" s="5"/>
      <c r="E47" s="5"/>
      <c r="F47" s="5"/>
      <c r="G47" s="5"/>
      <c r="H47" s="5"/>
    </row>
    <row r="48" customFormat="false" ht="15" hidden="false" customHeight="false" outlineLevel="0" collapsed="false">
      <c r="A48" s="11" t="s">
        <v>123</v>
      </c>
      <c r="B48" s="11" t="s">
        <v>263</v>
      </c>
      <c r="C48" s="5"/>
      <c r="D48" s="5"/>
      <c r="E48" s="5"/>
      <c r="F48" s="5"/>
      <c r="G48" s="5"/>
      <c r="H48" s="5"/>
    </row>
    <row r="49" customFormat="false" ht="15" hidden="false" customHeight="false" outlineLevel="0" collapsed="false">
      <c r="A49" s="11" t="s">
        <v>168</v>
      </c>
      <c r="B49" s="11" t="s">
        <v>264</v>
      </c>
      <c r="C49" s="5"/>
      <c r="D49" s="5"/>
      <c r="E49" s="5"/>
      <c r="F49" s="5"/>
      <c r="G49" s="5"/>
      <c r="H4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4" min="3" style="0" width="14"/>
    <col collapsed="false" customWidth="true" hidden="false" outlineLevel="0" max="9" min="5" style="0" width="9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4" t="s">
        <v>265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</row>
    <row r="3" customFormat="false" ht="26.85" hidden="false" customHeight="false" outlineLevel="0" collapsed="false">
      <c r="A3" s="6" t="s">
        <v>68</v>
      </c>
      <c r="B3" s="13" t="s">
        <v>266</v>
      </c>
      <c r="C3" s="6" t="s">
        <v>267</v>
      </c>
      <c r="D3" s="6" t="s">
        <v>51</v>
      </c>
      <c r="E3" s="5"/>
      <c r="F3" s="5"/>
      <c r="G3" s="5"/>
      <c r="H3" s="5"/>
      <c r="I3" s="5"/>
      <c r="J3" s="5"/>
    </row>
    <row r="4" customFormat="false" ht="15" hidden="false" customHeight="false" outlineLevel="0" collapsed="false">
      <c r="A4" s="14" t="n">
        <v>46333</v>
      </c>
      <c r="B4" s="10" t="n">
        <v>0</v>
      </c>
      <c r="C4" s="23" t="n">
        <v>0.713888888888889</v>
      </c>
      <c r="D4" s="7" t="s">
        <v>268</v>
      </c>
      <c r="E4" s="5"/>
      <c r="F4" s="5"/>
      <c r="G4" s="5"/>
      <c r="H4" s="5"/>
      <c r="I4" s="5"/>
      <c r="J4" s="5"/>
    </row>
    <row r="5" customFormat="false" ht="15" hidden="false" customHeight="false" outlineLevel="0" collapsed="false">
      <c r="A5" s="14" t="n">
        <v>46326</v>
      </c>
      <c r="B5" s="10" t="n">
        <v>7</v>
      </c>
      <c r="C5" s="24" t="n">
        <f aca="false">$C$4+B5/1440</f>
        <v>0.71875</v>
      </c>
      <c r="D5" s="7" t="s">
        <v>269</v>
      </c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14" t="n">
        <v>46327</v>
      </c>
      <c r="B6" s="10" t="n">
        <v>6</v>
      </c>
      <c r="C6" s="24" t="n">
        <f aca="false">$C$4+B6/1440</f>
        <v>0.718055555555556</v>
      </c>
      <c r="D6" s="7" t="s">
        <v>269</v>
      </c>
      <c r="E6" s="5"/>
      <c r="F6" s="5"/>
      <c r="G6" s="5"/>
      <c r="H6" s="5"/>
      <c r="I6" s="5"/>
      <c r="J6" s="5"/>
    </row>
    <row r="7" customFormat="false" ht="15" hidden="false" customHeight="false" outlineLevel="0" collapsed="false">
      <c r="A7" s="14" t="n">
        <v>46329</v>
      </c>
      <c r="B7" s="10" t="n">
        <v>4</v>
      </c>
      <c r="C7" s="24" t="n">
        <f aca="false">$C$4+B7/1440</f>
        <v>0.716666666666667</v>
      </c>
      <c r="D7" s="7" t="s">
        <v>269</v>
      </c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A8" s="14" t="n">
        <v>46334</v>
      </c>
      <c r="B8" s="10" t="n">
        <v>-1</v>
      </c>
      <c r="C8" s="24" t="n">
        <f aca="false">$C$4+B8/1440</f>
        <v>0.713194444444445</v>
      </c>
      <c r="D8" s="7" t="s">
        <v>269</v>
      </c>
      <c r="E8" s="5"/>
      <c r="F8" s="5"/>
      <c r="G8" s="5"/>
      <c r="H8" s="5"/>
      <c r="I8" s="5"/>
      <c r="J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</row>
    <row r="10" customFormat="false" ht="26.85" hidden="false" customHeight="false" outlineLevel="0" collapsed="false">
      <c r="A10" s="6" t="s">
        <v>270</v>
      </c>
      <c r="B10" s="6" t="s">
        <v>271</v>
      </c>
      <c r="C10" s="6" t="s">
        <v>272</v>
      </c>
      <c r="D10" s="6" t="s">
        <v>273</v>
      </c>
      <c r="E10" s="5"/>
      <c r="F10" s="5"/>
      <c r="G10" s="5"/>
      <c r="H10" s="5"/>
      <c r="I10" s="5"/>
      <c r="J10" s="5"/>
    </row>
    <row r="11" customFormat="false" ht="15" hidden="false" customHeight="false" outlineLevel="0" collapsed="false">
      <c r="A11" s="7" t="s">
        <v>274</v>
      </c>
      <c r="B11" s="10" t="n">
        <v>-90</v>
      </c>
      <c r="C11" s="10" t="n">
        <v>0</v>
      </c>
      <c r="D11" s="7" t="s">
        <v>275</v>
      </c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A12" s="7" t="s">
        <v>276</v>
      </c>
      <c r="B12" s="10" t="n">
        <v>-15</v>
      </c>
      <c r="C12" s="10" t="n">
        <v>20</v>
      </c>
      <c r="D12" s="7" t="s">
        <v>277</v>
      </c>
      <c r="E12" s="5"/>
      <c r="F12" s="5"/>
      <c r="G12" s="5"/>
      <c r="H12" s="5"/>
      <c r="I12" s="5"/>
      <c r="J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customFormat="false" ht="26.85" hidden="false" customHeight="false" outlineLevel="0" collapsed="false">
      <c r="A14" s="13" t="s">
        <v>67</v>
      </c>
      <c r="B14" s="6" t="s">
        <v>68</v>
      </c>
      <c r="C14" s="6" t="s">
        <v>72</v>
      </c>
      <c r="D14" s="6" t="s">
        <v>278</v>
      </c>
      <c r="E14" s="6" t="s">
        <v>104</v>
      </c>
      <c r="F14" s="6" t="s">
        <v>105</v>
      </c>
      <c r="G14" s="6" t="s">
        <v>279</v>
      </c>
      <c r="H14" s="6" t="s">
        <v>280</v>
      </c>
      <c r="I14" s="6" t="s">
        <v>281</v>
      </c>
      <c r="J14" s="6" t="s">
        <v>102</v>
      </c>
    </row>
    <row r="15" customFormat="false" ht="15" hidden="false" customHeight="false" outlineLevel="0" collapsed="false">
      <c r="A15" s="11" t="s">
        <v>186</v>
      </c>
      <c r="B15" s="14" t="n">
        <v>46329</v>
      </c>
      <c r="C15" s="7" t="s">
        <v>188</v>
      </c>
      <c r="D15" s="15" t="s">
        <v>276</v>
      </c>
      <c r="E15" s="25" t="n">
        <f aca="false">INDEX(シーン見積!$AL$4:$AL$25,MATCH(A15,シーン見積!$A$4:$A$25,0))</f>
        <v>0.6875</v>
      </c>
      <c r="F15" s="25" t="n">
        <f aca="false">INDEX(シーン見積!$AM$4:$AM$25,MATCH(A15,シーン見積!$A$4:$A$25,0))</f>
        <v>0.708333333333333</v>
      </c>
      <c r="G15" s="26" t="n">
        <f aca="false">INDEX($C$4:$C$8,MATCH(B15,$A$4:$A$8,0))</f>
        <v>0.716666666666667</v>
      </c>
      <c r="H15" s="26" t="n">
        <f aca="false">G15+INDEX($B$11:$B$12,MATCH(D15,$A$11:$A$12,0))/1440</f>
        <v>0.70625</v>
      </c>
      <c r="I15" s="26" t="n">
        <f aca="false">G15+INDEX($C$11:$C$12,MATCH(D15,$A$11:$A$12,0))/1440</f>
        <v>0.730555555555556</v>
      </c>
      <c r="J15" s="27" t="str">
        <f aca="false">IF(AND(E15&gt;=H15-1/1440/2,F15&lt;=I15+1/1440/2),"OK",IF(OR(F15&lt;=H15,E15&gt;=I15),"ずれ","一部ずれ"))</f>
        <v>一部ずれ</v>
      </c>
    </row>
    <row r="16" customFormat="false" ht="15" hidden="false" customHeight="false" outlineLevel="0" collapsed="false">
      <c r="A16" s="11" t="s">
        <v>180</v>
      </c>
      <c r="B16" s="14" t="n">
        <v>46329</v>
      </c>
      <c r="C16" s="7" t="s">
        <v>183</v>
      </c>
      <c r="D16" s="15" t="s">
        <v>274</v>
      </c>
      <c r="E16" s="25" t="n">
        <f aca="false">INDEX(シーン見積!$AL$4:$AL$25,MATCH(A16,シーン見積!$A$4:$A$25,0))</f>
        <v>0.635416666666667</v>
      </c>
      <c r="F16" s="25" t="n">
        <f aca="false">INDEX(シーン見積!$AM$4:$AM$25,MATCH(A16,シーン見積!$A$4:$A$25,0))</f>
        <v>0.6875</v>
      </c>
      <c r="G16" s="26" t="n">
        <f aca="false">INDEX($C$4:$C$8,MATCH(B16,$A$4:$A$8,0))</f>
        <v>0.716666666666667</v>
      </c>
      <c r="H16" s="26" t="n">
        <f aca="false">G16+INDEX($B$11:$B$12,MATCH(D16,$A$11:$A$12,0))/1440</f>
        <v>0.654166666666667</v>
      </c>
      <c r="I16" s="26" t="n">
        <f aca="false">G16+INDEX($C$11:$C$12,MATCH(D16,$A$11:$A$12,0))/1440</f>
        <v>0.716666666666667</v>
      </c>
      <c r="J16" s="27" t="str">
        <f aca="false">IF(AND(E16&gt;=H16-1/1440/2,F16&lt;=I16+1/1440/2),"OK",IF(OR(F16&lt;=H16,E16&gt;=I16),"ずれ","一部ずれ"))</f>
        <v>一部ずれ</v>
      </c>
    </row>
    <row r="17" customFormat="false" ht="15" hidden="false" customHeight="false" outlineLevel="0" collapsed="false">
      <c r="A17" s="11" t="s">
        <v>190</v>
      </c>
      <c r="B17" s="14" t="n">
        <v>46333</v>
      </c>
      <c r="C17" s="7" t="s">
        <v>183</v>
      </c>
      <c r="D17" s="15" t="s">
        <v>274</v>
      </c>
      <c r="E17" s="25" t="n">
        <f aca="false">INDEX(シーン見積!$AL$4:$AL$25,MATCH(A17,シーン見積!$A$4:$A$25,0))</f>
        <v>0.458333333333333</v>
      </c>
      <c r="F17" s="25" t="n">
        <f aca="false">INDEX(シーン見積!$AM$4:$AM$25,MATCH(A17,シーン見積!$A$4:$A$25,0))</f>
        <v>0.479166666666667</v>
      </c>
      <c r="G17" s="26" t="n">
        <f aca="false">INDEX($C$4:$C$8,MATCH(B17,$A$4:$A$8,0))</f>
        <v>0.713888888888889</v>
      </c>
      <c r="H17" s="26" t="n">
        <f aca="false">G17+INDEX($B$11:$B$12,MATCH(D17,$A$11:$A$12,0))/1440</f>
        <v>0.651388888888889</v>
      </c>
      <c r="I17" s="26" t="n">
        <f aca="false">G17+INDEX($C$11:$C$12,MATCH(D17,$A$11:$A$12,0))/1440</f>
        <v>0.713888888888889</v>
      </c>
      <c r="J17" s="27" t="str">
        <f aca="false">IF(AND(E17&gt;=H17-1/1440/2,F17&lt;=I17+1/1440/2),"OK",IF(OR(F17&lt;=H17,E17&gt;=I17),"ずれ","一部ずれ"))</f>
        <v>ずれ</v>
      </c>
    </row>
    <row r="18" customFormat="false" ht="15" hidden="false" customHeight="false" outlineLevel="0" collapsed="false">
      <c r="A18" s="11" t="s">
        <v>197</v>
      </c>
      <c r="B18" s="14" t="n">
        <v>46333</v>
      </c>
      <c r="C18" s="7" t="s">
        <v>183</v>
      </c>
      <c r="D18" s="15" t="s">
        <v>274</v>
      </c>
      <c r="E18" s="25" t="n">
        <f aca="false">INDEX(シーン見積!$AL$4:$AL$25,MATCH(A18,シーン見積!$A$4:$A$25,0))</f>
        <v>0.604166666666667</v>
      </c>
      <c r="F18" s="25" t="n">
        <f aca="false">INDEX(シーン見積!$AM$4:$AM$25,MATCH(A18,シーン見積!$A$4:$A$25,0))</f>
        <v>0.65625</v>
      </c>
      <c r="G18" s="26" t="n">
        <f aca="false">INDEX($C$4:$C$8,MATCH(B18,$A$4:$A$8,0))</f>
        <v>0.713888888888889</v>
      </c>
      <c r="H18" s="26" t="n">
        <f aca="false">G18+INDEX($B$11:$B$12,MATCH(D18,$A$11:$A$12,0))/1440</f>
        <v>0.651388888888889</v>
      </c>
      <c r="I18" s="26" t="n">
        <f aca="false">G18+INDEX($C$11:$C$12,MATCH(D18,$A$11:$A$12,0))/1440</f>
        <v>0.713888888888889</v>
      </c>
      <c r="J18" s="27" t="str">
        <f aca="false">IF(AND(E18&gt;=H18-1/1440/2,F18&lt;=I18+1/1440/2),"OK",IF(OR(F18&lt;=H18,E18&gt;=I18),"ずれ","一部ずれ"))</f>
        <v>一部ずれ</v>
      </c>
    </row>
    <row r="19" customFormat="false" ht="15" hidden="false" customHeight="false" outlineLevel="0" collapsed="false">
      <c r="A19" s="11" t="s">
        <v>200</v>
      </c>
      <c r="B19" s="14" t="n">
        <v>46333</v>
      </c>
      <c r="C19" s="7" t="s">
        <v>183</v>
      </c>
      <c r="D19" s="15" t="s">
        <v>274</v>
      </c>
      <c r="E19" s="25" t="n">
        <f aca="false">INDEX(シーン見積!$AL$4:$AL$25,MATCH(A19,シーン見積!$A$4:$A$25,0))</f>
        <v>0.670138888888889</v>
      </c>
      <c r="F19" s="25" t="n">
        <f aca="false">INDEX(シーン見積!$AM$4:$AM$25,MATCH(A19,シーン見積!$A$4:$A$25,0))</f>
        <v>0.680555555555556</v>
      </c>
      <c r="G19" s="26" t="n">
        <f aca="false">INDEX($C$4:$C$8,MATCH(B19,$A$4:$A$8,0))</f>
        <v>0.713888888888889</v>
      </c>
      <c r="H19" s="26" t="n">
        <f aca="false">G19+INDEX($B$11:$B$12,MATCH(D19,$A$11:$A$12,0))/1440</f>
        <v>0.651388888888889</v>
      </c>
      <c r="I19" s="26" t="n">
        <f aca="false">G19+INDEX($C$11:$C$12,MATCH(D19,$A$11:$A$12,0))/1440</f>
        <v>0.713888888888889</v>
      </c>
      <c r="J19" s="27" t="str">
        <f aca="false">IF(AND(E19&gt;=H19-1/1440/2,F19&lt;=I19+1/1440/2),"OK",IF(OR(F19&lt;=H19,E19&gt;=I19),"ずれ","一部ずれ"))</f>
        <v>OK</v>
      </c>
    </row>
    <row r="20" customFormat="false" ht="15" hidden="false" customHeight="false" outlineLevel="0" collapsed="false">
      <c r="A20" s="11" t="s">
        <v>203</v>
      </c>
      <c r="B20" s="14" t="n">
        <v>46333</v>
      </c>
      <c r="C20" s="7" t="s">
        <v>188</v>
      </c>
      <c r="D20" s="15" t="s">
        <v>276</v>
      </c>
      <c r="E20" s="25" t="n">
        <f aca="false">INDEX(シーン見積!$AL$4:$AL$25,MATCH(A20,シーン見積!$A$4:$A$25,0))</f>
        <v>0.6875</v>
      </c>
      <c r="F20" s="25" t="n">
        <f aca="false">INDEX(シーン見積!$AM$4:$AM$25,MATCH(A20,シーン見積!$A$4:$A$25,0))</f>
        <v>0.71875</v>
      </c>
      <c r="G20" s="26" t="n">
        <f aca="false">INDEX($C$4:$C$8,MATCH(B20,$A$4:$A$8,0))</f>
        <v>0.713888888888889</v>
      </c>
      <c r="H20" s="26" t="n">
        <f aca="false">G20+INDEX($B$11:$B$12,MATCH(D20,$A$11:$A$12,0))/1440</f>
        <v>0.703472222222222</v>
      </c>
      <c r="I20" s="26" t="n">
        <f aca="false">G20+INDEX($C$11:$C$12,MATCH(D20,$A$11:$A$12,0))/1440</f>
        <v>0.727777777777778</v>
      </c>
      <c r="J20" s="27" t="str">
        <f aca="false">IF(AND(E20&gt;=H20-1/1440/2,F20&lt;=I20+1/1440/2),"OK",IF(OR(F20&lt;=H20,E20&gt;=I20),"ずれ","一部ずれ"))</f>
        <v>一部ずれ</v>
      </c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customFormat="false" ht="15" hidden="false" customHeight="false" outlineLevel="0" collapsed="false">
      <c r="A22" s="12" t="s">
        <v>282</v>
      </c>
      <c r="B22" s="5"/>
      <c r="C22" s="5"/>
      <c r="D22" s="5"/>
      <c r="E22" s="5"/>
      <c r="F22" s="5"/>
      <c r="G22" s="5"/>
      <c r="H22" s="5"/>
      <c r="I22" s="5"/>
      <c r="J22" s="5"/>
    </row>
  </sheetData>
  <conditionalFormatting sqref="J15:J20">
    <cfRule type="cellIs" priority="2" operator="equal" aboveAverage="0" equalAverage="0" bottom="0" percent="0" rank="0" text="" dxfId="0">
      <formula>"ずれ"</formula>
    </cfRule>
    <cfRule type="cellIs" priority="3" operator="equal" aboveAverage="0" equalAverage="0" bottom="0" percent="0" rank="0" text="" dxfId="1">
      <formula>"一部ずれ"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9.51"/>
  </cols>
  <sheetData>
    <row r="1" customFormat="false" ht="15" hidden="false" customHeight="false" outlineLevel="0" collapsed="false">
      <c r="A1" s="4" t="s">
        <v>283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customFormat="false" ht="15" hidden="false" customHeight="false" outlineLevel="0" collapsed="false">
      <c r="A2" s="12" t="s">
        <v>284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customFormat="false" ht="45" hidden="false" customHeight="true" outlineLevel="0" collapsed="false">
      <c r="A4" s="6" t="s">
        <v>69</v>
      </c>
      <c r="B4" s="6" t="s">
        <v>68</v>
      </c>
      <c r="C4" s="6" t="s">
        <v>285</v>
      </c>
      <c r="D4" s="6" t="s">
        <v>286</v>
      </c>
      <c r="E4" s="6" t="s">
        <v>287</v>
      </c>
      <c r="F4" s="6" t="s">
        <v>288</v>
      </c>
      <c r="G4" s="6" t="s">
        <v>289</v>
      </c>
      <c r="H4" s="6" t="s">
        <v>290</v>
      </c>
      <c r="I4" s="6" t="s">
        <v>291</v>
      </c>
      <c r="J4" s="6" t="s">
        <v>292</v>
      </c>
      <c r="K4" s="6" t="s">
        <v>293</v>
      </c>
      <c r="L4" s="6" t="s">
        <v>294</v>
      </c>
      <c r="M4" s="6" t="s">
        <v>295</v>
      </c>
      <c r="N4" s="6" t="s">
        <v>296</v>
      </c>
      <c r="O4" s="6" t="s">
        <v>297</v>
      </c>
      <c r="P4" s="6" t="s">
        <v>298</v>
      </c>
      <c r="Q4" s="6" t="s">
        <v>299</v>
      </c>
      <c r="R4" s="6" t="s">
        <v>300</v>
      </c>
      <c r="S4" s="6" t="s">
        <v>301</v>
      </c>
      <c r="T4" s="6" t="s">
        <v>302</v>
      </c>
      <c r="U4" s="6" t="s">
        <v>303</v>
      </c>
      <c r="V4" s="6" t="s">
        <v>304</v>
      </c>
      <c r="W4" s="6" t="s">
        <v>305</v>
      </c>
    </row>
    <row r="5" customFormat="false" ht="15" hidden="false" customHeight="false" outlineLevel="0" collapsed="false">
      <c r="A5" s="28" t="s">
        <v>107</v>
      </c>
      <c r="B5" s="14" t="n">
        <v>46326</v>
      </c>
      <c r="C5" s="20" t="n">
        <v>0.479166666666667</v>
      </c>
      <c r="D5" s="20" t="n">
        <v>0.708333333333333</v>
      </c>
      <c r="E5" s="10" t="n">
        <v>50</v>
      </c>
      <c r="F5" s="11" t="n">
        <f aca="false">ROUND((D5-C5)*1440,0)-E5</f>
        <v>280</v>
      </c>
      <c r="G5" s="11" t="n">
        <f aca="false">SUMIFS(シーン見積!$G$4:$G$25,シーン見積!$C$4:$C$25,A5)</f>
        <v>200</v>
      </c>
      <c r="H5" s="11" t="n">
        <f aca="false">SUMIFS(移動!$G$16:$G$32,移動!$A$16:$A$32,A5)</f>
        <v>20</v>
      </c>
      <c r="I5" s="11" t="n">
        <f aca="false">F5-G5-H5</f>
        <v>60</v>
      </c>
      <c r="J5" s="10" t="n">
        <v>1</v>
      </c>
      <c r="K5" s="11" t="n">
        <f aca="false">SUMIFS(シーン見積!$Z$4:$Z$25,シーン見積!$C$4:$C$25,A5)+SUMIFS(移動!$D$16:$D$32,移動!$A$16:$A$32,A5)+J5*係数!$B$14</f>
        <v>108</v>
      </c>
      <c r="L5" s="9" t="n">
        <f aca="false">SUMIFS(シーン見積!$AD$4:$AD$25,シーン見積!$C$4:$C$25,A5)+SUMIFS(移動!$E$16:$E$32,移動!$A$16:$A$32,A5)+J5*係数!$C$14</f>
        <v>187</v>
      </c>
      <c r="M5" s="11" t="n">
        <f aca="false">SUMIFS(シーン見積!$AH$4:$AH$25,シーン見積!$C$4:$C$25,A5)+SUMIFS(移動!$F$16:$F$32,移動!$A$16:$A$32,A5)+J5*係数!$D$14</f>
        <v>280</v>
      </c>
      <c r="N5" s="29" t="n">
        <f aca="false">F5-K5</f>
        <v>172</v>
      </c>
      <c r="O5" s="29" t="n">
        <f aca="false">F5-L5</f>
        <v>93</v>
      </c>
      <c r="P5" s="29" t="n">
        <f aca="false">F5-M5</f>
        <v>0</v>
      </c>
      <c r="Q5" s="30" t="n">
        <f aca="false">IF(I5&gt;0,MAX(0,L5-G5-H5)/I5,"予備なし")</f>
        <v>0</v>
      </c>
      <c r="R5" s="30" t="n">
        <f aca="false">IF(I5&gt;0,MAX(0,M5-G5-H5)/I5,"予備なし")</f>
        <v>1</v>
      </c>
      <c r="S5" s="26" t="n">
        <f aca="false">C5+(E5+K5)/1440</f>
        <v>0.588888888888889</v>
      </c>
      <c r="T5" s="31" t="n">
        <f aca="false">C5+(E5+L5)/1440</f>
        <v>0.64375</v>
      </c>
      <c r="U5" s="26" t="n">
        <f aca="false">C5+(E5+M5)/1440</f>
        <v>0.708333333333333</v>
      </c>
      <c r="V5" s="9" t="str">
        <f aca="false">IF(T5&lt;=D5+1/2880,"収まる",IF(S5&lt;=D5+1/2880,"条件付き","超過"))</f>
        <v>収まる</v>
      </c>
      <c r="W5" s="7" t="str">
        <f aca="false">IF(U5&lt;=D5+1/2880,"収まる","超過")</f>
        <v>収まる</v>
      </c>
    </row>
    <row r="6" customFormat="false" ht="15" hidden="false" customHeight="false" outlineLevel="0" collapsed="false">
      <c r="A6" s="28" t="s">
        <v>128</v>
      </c>
      <c r="B6" s="14" t="n">
        <v>46327</v>
      </c>
      <c r="C6" s="20" t="n">
        <v>0.4375</v>
      </c>
      <c r="D6" s="20" t="n">
        <v>0.635416666666667</v>
      </c>
      <c r="E6" s="10" t="n">
        <v>50</v>
      </c>
      <c r="F6" s="11" t="n">
        <f aca="false">ROUND((D6-C6)*1440,0)-E6</f>
        <v>235</v>
      </c>
      <c r="G6" s="11" t="n">
        <f aca="false">SUMIFS(シーン見積!$G$4:$G$25,シーン見積!$C$4:$C$25,A6)</f>
        <v>185</v>
      </c>
      <c r="H6" s="11" t="n">
        <f aca="false">SUMIFS(移動!$G$16:$G$32,移動!$A$16:$A$32,A6)</f>
        <v>10</v>
      </c>
      <c r="I6" s="11" t="n">
        <f aca="false">F6-G6-H6</f>
        <v>40</v>
      </c>
      <c r="J6" s="10" t="n">
        <v>3</v>
      </c>
      <c r="K6" s="11" t="n">
        <f aca="false">SUMIFS(シーン見積!$Z$4:$Z$25,シーン見積!$C$4:$C$25,A6)+SUMIFS(移動!$D$16:$D$32,移動!$A$16:$A$32,A6)+J6*係数!$B$14</f>
        <v>177</v>
      </c>
      <c r="L6" s="9" t="n">
        <f aca="false">SUMIFS(シーン見積!$AD$4:$AD$25,シーン見積!$C$4:$C$25,A6)+SUMIFS(移動!$E$16:$E$32,移動!$A$16:$A$32,A6)+J6*係数!$C$14</f>
        <v>305</v>
      </c>
      <c r="M6" s="11" t="n">
        <f aca="false">SUMIFS(シーン見積!$AH$4:$AH$25,シーン見積!$C$4:$C$25,A6)+SUMIFS(移動!$F$16:$F$32,移動!$A$16:$A$32,A6)+J6*係数!$D$14</f>
        <v>455</v>
      </c>
      <c r="N6" s="29" t="n">
        <f aca="false">F6-K6</f>
        <v>58</v>
      </c>
      <c r="O6" s="29" t="n">
        <f aca="false">F6-L6</f>
        <v>-70</v>
      </c>
      <c r="P6" s="29" t="n">
        <f aca="false">F6-M6</f>
        <v>-220</v>
      </c>
      <c r="Q6" s="30" t="n">
        <f aca="false">IF(I6&gt;0,MAX(0,L6-G6-H6)/I6,"予備なし")</f>
        <v>2.75</v>
      </c>
      <c r="R6" s="30" t="n">
        <f aca="false">IF(I6&gt;0,MAX(0,M6-G6-H6)/I6,"予備なし")</f>
        <v>6.5</v>
      </c>
      <c r="S6" s="26" t="n">
        <f aca="false">C6+(E6+K6)/1440</f>
        <v>0.595138888888889</v>
      </c>
      <c r="T6" s="31" t="n">
        <f aca="false">C6+(E6+L6)/1440</f>
        <v>0.684027777777778</v>
      </c>
      <c r="U6" s="26" t="n">
        <f aca="false">C6+(E6+M6)/1440</f>
        <v>0.788194444444445</v>
      </c>
      <c r="V6" s="9" t="str">
        <f aca="false">IF(T6&lt;=D6+1/2880,"収まる",IF(S6&lt;=D6+1/2880,"条件付き","超過"))</f>
        <v>条件付き</v>
      </c>
      <c r="W6" s="7" t="str">
        <f aca="false">IF(U6&lt;=D6+1/2880,"収まる","超過")</f>
        <v>超過</v>
      </c>
    </row>
    <row r="7" customFormat="false" ht="15" hidden="false" customHeight="false" outlineLevel="0" collapsed="false">
      <c r="A7" s="28" t="s">
        <v>153</v>
      </c>
      <c r="B7" s="14" t="n">
        <v>46327</v>
      </c>
      <c r="C7" s="20" t="n">
        <v>0.635416666666667</v>
      </c>
      <c r="D7" s="20" t="n">
        <v>0.708333333333333</v>
      </c>
      <c r="E7" s="10" t="n">
        <v>0</v>
      </c>
      <c r="F7" s="11" t="n">
        <f aca="false">ROUND((D7-C7)*1440,0)-E7</f>
        <v>105</v>
      </c>
      <c r="G7" s="11" t="n">
        <f aca="false">SUMIFS(シーン見積!$G$4:$G$25,シーン見積!$C$4:$C$25,A7)</f>
        <v>75</v>
      </c>
      <c r="H7" s="11" t="n">
        <f aca="false">SUMIFS(移動!$G$16:$G$32,移動!$A$16:$A$32,A7)</f>
        <v>0</v>
      </c>
      <c r="I7" s="11" t="n">
        <f aca="false">F7-G7-H7</f>
        <v>30</v>
      </c>
      <c r="J7" s="10" t="n">
        <v>0</v>
      </c>
      <c r="K7" s="11" t="n">
        <f aca="false">SUMIFS(シーン見積!$Z$4:$Z$25,シーン見積!$C$4:$C$25,A7)+SUMIFS(移動!$D$16:$D$32,移動!$A$16:$A$32,A7)+J7*係数!$B$14</f>
        <v>46</v>
      </c>
      <c r="L7" s="9" t="n">
        <f aca="false">SUMIFS(シーン見積!$AD$4:$AD$25,シーン見積!$C$4:$C$25,A7)+SUMIFS(移動!$E$16:$E$32,移動!$A$16:$A$32,A7)+J7*係数!$C$14</f>
        <v>79</v>
      </c>
      <c r="M7" s="11" t="n">
        <f aca="false">SUMIFS(シーン見積!$AH$4:$AH$25,シーン見積!$C$4:$C$25,A7)+SUMIFS(移動!$F$16:$F$32,移動!$A$16:$A$32,A7)+J7*係数!$D$14</f>
        <v>116</v>
      </c>
      <c r="N7" s="29" t="n">
        <f aca="false">F7-K7</f>
        <v>59</v>
      </c>
      <c r="O7" s="29" t="n">
        <f aca="false">F7-L7</f>
        <v>26</v>
      </c>
      <c r="P7" s="29" t="n">
        <f aca="false">F7-M7</f>
        <v>-11</v>
      </c>
      <c r="Q7" s="30" t="n">
        <f aca="false">IF(I7&gt;0,MAX(0,L7-G7-H7)/I7,"予備なし")</f>
        <v>0.133333333333333</v>
      </c>
      <c r="R7" s="30" t="n">
        <f aca="false">IF(I7&gt;0,MAX(0,M7-G7-H7)/I7,"予備なし")</f>
        <v>1.36666666666667</v>
      </c>
      <c r="S7" s="26" t="n">
        <f aca="false">MAX(C7,S6)+(E7+K7)/1440</f>
        <v>0.667361111111111</v>
      </c>
      <c r="T7" s="31" t="n">
        <f aca="false">MAX(C7,T6)+(E7+L7)/1440</f>
        <v>0.738888888888889</v>
      </c>
      <c r="U7" s="26" t="n">
        <f aca="false">MAX(C7,U6)+(E7+M7)/1440</f>
        <v>0.86875</v>
      </c>
      <c r="V7" s="9" t="str">
        <f aca="false">IF(T7&lt;=D7+1/2880,"収まる",IF(S7&lt;=D7+1/2880,"条件付き","超過"))</f>
        <v>条件付き</v>
      </c>
      <c r="W7" s="7" t="str">
        <f aca="false">IF(U7&lt;=D7+1/2880,"収まる","超過")</f>
        <v>超過</v>
      </c>
    </row>
    <row r="8" customFormat="false" ht="15" hidden="false" customHeight="false" outlineLevel="0" collapsed="false">
      <c r="A8" s="28" t="s">
        <v>159</v>
      </c>
      <c r="B8" s="14" t="n">
        <v>46329</v>
      </c>
      <c r="C8" s="20" t="n">
        <v>0.333333333333333</v>
      </c>
      <c r="D8" s="20" t="n">
        <v>0.635416666666667</v>
      </c>
      <c r="E8" s="10" t="n">
        <v>50</v>
      </c>
      <c r="F8" s="11" t="n">
        <f aca="false">ROUND((D8-C8)*1440,0)-E8</f>
        <v>385</v>
      </c>
      <c r="G8" s="11" t="n">
        <f aca="false">SUMIFS(シーン見積!$G$4:$G$25,シーン見積!$C$4:$C$25,A8)</f>
        <v>300</v>
      </c>
      <c r="H8" s="11" t="n">
        <f aca="false">SUMIFS(移動!$G$16:$G$32,移動!$A$16:$A$32,A8)</f>
        <v>10</v>
      </c>
      <c r="I8" s="11" t="n">
        <f aca="false">F8-G8-H8</f>
        <v>75</v>
      </c>
      <c r="J8" s="10" t="n">
        <v>4</v>
      </c>
      <c r="K8" s="11" t="n">
        <f aca="false">SUMIFS(シーン見積!$Z$4:$Z$25,シーン見積!$C$4:$C$25,A8)+SUMIFS(移動!$D$16:$D$32,移動!$A$16:$A$32,A8)+J8*係数!$B$14</f>
        <v>301</v>
      </c>
      <c r="L8" s="9" t="n">
        <f aca="false">SUMIFS(シーン見積!$AD$4:$AD$25,シーン見積!$C$4:$C$25,A8)+SUMIFS(移動!$E$16:$E$32,移動!$A$16:$A$32,A8)+J8*係数!$C$14</f>
        <v>512</v>
      </c>
      <c r="M8" s="11" t="n">
        <f aca="false">SUMIFS(シーン見積!$AH$4:$AH$25,シーン見積!$C$4:$C$25,A8)+SUMIFS(移動!$F$16:$F$32,移動!$A$16:$A$32,A8)+J8*係数!$D$14</f>
        <v>749</v>
      </c>
      <c r="N8" s="29" t="n">
        <f aca="false">F8-K8</f>
        <v>84</v>
      </c>
      <c r="O8" s="29" t="n">
        <f aca="false">F8-L8</f>
        <v>-127</v>
      </c>
      <c r="P8" s="29" t="n">
        <f aca="false">F8-M8</f>
        <v>-364</v>
      </c>
      <c r="Q8" s="30" t="n">
        <f aca="false">IF(I8&gt;0,MAX(0,L8-G8-H8)/I8,"予備なし")</f>
        <v>2.69333333333333</v>
      </c>
      <c r="R8" s="30" t="n">
        <f aca="false">IF(I8&gt;0,MAX(0,M8-G8-H8)/I8,"予備なし")</f>
        <v>5.85333333333333</v>
      </c>
      <c r="S8" s="26" t="n">
        <f aca="false">C8+(E8+K8)/1440</f>
        <v>0.577083333333333</v>
      </c>
      <c r="T8" s="31" t="n">
        <f aca="false">C8+(E8+L8)/1440</f>
        <v>0.723611111111111</v>
      </c>
      <c r="U8" s="26" t="n">
        <f aca="false">C8+(E8+M8)/1440</f>
        <v>0.888194444444444</v>
      </c>
      <c r="V8" s="9" t="str">
        <f aca="false">IF(T8&lt;=D8+1/2880,"収まる",IF(S8&lt;=D8+1/2880,"条件付き","超過"))</f>
        <v>条件付き</v>
      </c>
      <c r="W8" s="7" t="str">
        <f aca="false">IF(U8&lt;=D8+1/2880,"収まる","超過")</f>
        <v>超過</v>
      </c>
    </row>
    <row r="9" customFormat="false" ht="15" hidden="false" customHeight="false" outlineLevel="0" collapsed="false">
      <c r="A9" s="28" t="s">
        <v>181</v>
      </c>
      <c r="B9" s="14" t="n">
        <v>46329</v>
      </c>
      <c r="C9" s="20" t="n">
        <v>0.635416666666667</v>
      </c>
      <c r="D9" s="26" t="n">
        <f aca="false">日没!C7+日没!C12/1440</f>
        <v>0.730555555555556</v>
      </c>
      <c r="E9" s="10" t="n">
        <v>0</v>
      </c>
      <c r="F9" s="11" t="n">
        <f aca="false">ROUND((D9-C9)*1440,0)-E9</f>
        <v>137</v>
      </c>
      <c r="G9" s="11" t="n">
        <f aca="false">SUMIFS(シーン見積!$G$4:$G$25,シーン見積!$C$4:$C$25,A9)</f>
        <v>105</v>
      </c>
      <c r="H9" s="11" t="n">
        <f aca="false">SUMIFS(移動!$G$16:$G$32,移動!$A$16:$A$32,A9)</f>
        <v>0</v>
      </c>
      <c r="I9" s="11" t="n">
        <f aca="false">F9-G9-H9</f>
        <v>32</v>
      </c>
      <c r="J9" s="10" t="n">
        <v>0</v>
      </c>
      <c r="K9" s="11" t="n">
        <f aca="false">SUMIFS(シーン見積!$Z$4:$Z$25,シーン見積!$C$4:$C$25,A9)+SUMIFS(移動!$D$16:$D$32,移動!$A$16:$A$32,A9)+J9*係数!$B$14</f>
        <v>54</v>
      </c>
      <c r="L9" s="9" t="n">
        <f aca="false">SUMIFS(シーン見積!$AD$4:$AD$25,シーン見積!$C$4:$C$25,A9)+SUMIFS(移動!$E$16:$E$32,移動!$A$16:$A$32,A9)+J9*係数!$C$14</f>
        <v>90</v>
      </c>
      <c r="M9" s="11" t="n">
        <f aca="false">SUMIFS(シーン見積!$AH$4:$AH$25,シーン見積!$C$4:$C$25,A9)+SUMIFS(移動!$F$16:$F$32,移動!$A$16:$A$32,A9)+J9*係数!$D$14</f>
        <v>132</v>
      </c>
      <c r="N9" s="29" t="n">
        <f aca="false">F9-K9</f>
        <v>83</v>
      </c>
      <c r="O9" s="29" t="n">
        <f aca="false">F9-L9</f>
        <v>47</v>
      </c>
      <c r="P9" s="29" t="n">
        <f aca="false">F9-M9</f>
        <v>5</v>
      </c>
      <c r="Q9" s="30" t="n">
        <f aca="false">IF(I9&gt;0,MAX(0,L9-G9-H9)/I9,"予備なし")</f>
        <v>0</v>
      </c>
      <c r="R9" s="30" t="n">
        <f aca="false">IF(I9&gt;0,MAX(0,M9-G9-H9)/I9,"予備なし")</f>
        <v>0.84375</v>
      </c>
      <c r="S9" s="26" t="n">
        <f aca="false">MAX(C9,S8)+(E9+K9)/1440</f>
        <v>0.672916666666667</v>
      </c>
      <c r="T9" s="31" t="n">
        <f aca="false">MAX(C9,T8)+(E9+L9)/1440</f>
        <v>0.786111111111111</v>
      </c>
      <c r="U9" s="26" t="n">
        <f aca="false">MAX(C9,U8)+(E9+M9)/1440</f>
        <v>0.979861111111111</v>
      </c>
      <c r="V9" s="9" t="str">
        <f aca="false">IF(T9&lt;=D9+1/2880,"収まる",IF(S9&lt;=D9+1/2880,"条件付き","超過"))</f>
        <v>条件付き</v>
      </c>
      <c r="W9" s="7" t="str">
        <f aca="false">IF(U9&lt;=D9+1/2880,"収まる","超過")</f>
        <v>超過</v>
      </c>
    </row>
    <row r="10" customFormat="false" ht="15" hidden="false" customHeight="false" outlineLevel="0" collapsed="false">
      <c r="A10" s="28" t="s">
        <v>191</v>
      </c>
      <c r="B10" s="14" t="n">
        <v>46333</v>
      </c>
      <c r="C10" s="20" t="n">
        <v>0.458333333333333</v>
      </c>
      <c r="D10" s="20" t="n">
        <v>0.6875</v>
      </c>
      <c r="E10" s="10" t="n">
        <v>50</v>
      </c>
      <c r="F10" s="11" t="n">
        <f aca="false">ROUND((D10-C10)*1440,0)-E10</f>
        <v>280</v>
      </c>
      <c r="G10" s="11" t="n">
        <f aca="false">SUMIFS(シーン見積!$G$4:$G$25,シーン見積!$C$4:$C$25,A10)</f>
        <v>210</v>
      </c>
      <c r="H10" s="11" t="n">
        <f aca="false">SUMIFS(移動!$G$16:$G$32,移動!$A$16:$A$32,A10)</f>
        <v>70</v>
      </c>
      <c r="I10" s="11" t="n">
        <f aca="false">F10-G10-H10</f>
        <v>0</v>
      </c>
      <c r="J10" s="10" t="n">
        <v>3</v>
      </c>
      <c r="K10" s="11" t="n">
        <f aca="false">SUMIFS(シーン見積!$Z$4:$Z$25,シーン見積!$C$4:$C$25,A10)+SUMIFS(移動!$D$16:$D$32,移動!$A$16:$A$32,A10)+J10*係数!$B$14</f>
        <v>222</v>
      </c>
      <c r="L10" s="9" t="n">
        <f aca="false">SUMIFS(シーン見積!$AD$4:$AD$25,シーン見積!$C$4:$C$25,A10)+SUMIFS(移動!$E$16:$E$32,移動!$A$16:$A$32,A10)+J10*係数!$C$14</f>
        <v>392</v>
      </c>
      <c r="M10" s="11" t="n">
        <f aca="false">SUMIFS(シーン見積!$AH$4:$AH$25,シーン見積!$C$4:$C$25,A10)+SUMIFS(移動!$F$16:$F$32,移動!$A$16:$A$32,A10)+J10*係数!$D$14</f>
        <v>592</v>
      </c>
      <c r="N10" s="29" t="n">
        <f aca="false">F10-K10</f>
        <v>58</v>
      </c>
      <c r="O10" s="29" t="n">
        <f aca="false">F10-L10</f>
        <v>-112</v>
      </c>
      <c r="P10" s="29" t="n">
        <f aca="false">F10-M10</f>
        <v>-312</v>
      </c>
      <c r="Q10" s="30" t="str">
        <f aca="false">IF(I10&gt;0,MAX(0,L10-G10-H10)/I10,"予備なし")</f>
        <v>予備なし</v>
      </c>
      <c r="R10" s="30" t="str">
        <f aca="false">IF(I10&gt;0,MAX(0,M10-G10-H10)/I10,"予備なし")</f>
        <v>予備なし</v>
      </c>
      <c r="S10" s="26" t="n">
        <f aca="false">C10+(E10+K10)/1440</f>
        <v>0.647222222222222</v>
      </c>
      <c r="T10" s="31" t="n">
        <f aca="false">C10+(E10+L10)/1440</f>
        <v>0.765277777777778</v>
      </c>
      <c r="U10" s="26" t="n">
        <f aca="false">C10+(E10+M10)/1440</f>
        <v>0.904166666666667</v>
      </c>
      <c r="V10" s="9" t="str">
        <f aca="false">IF(T10&lt;=D10+1/2880,"収まる",IF(S10&lt;=D10+1/2880,"条件付き","超過"))</f>
        <v>条件付き</v>
      </c>
      <c r="W10" s="7" t="str">
        <f aca="false">IF(U10&lt;=D10+1/2880,"収まる","超過")</f>
        <v>超過</v>
      </c>
    </row>
    <row r="11" customFormat="false" ht="15" hidden="false" customHeight="false" outlineLevel="0" collapsed="false">
      <c r="A11" s="28" t="s">
        <v>204</v>
      </c>
      <c r="B11" s="14" t="n">
        <v>46333</v>
      </c>
      <c r="C11" s="20" t="n">
        <v>0.6875</v>
      </c>
      <c r="D11" s="26" t="n">
        <f aca="false">日没!C4+10/1440</f>
        <v>0.720833333333333</v>
      </c>
      <c r="E11" s="10" t="n">
        <v>0</v>
      </c>
      <c r="F11" s="11" t="n">
        <f aca="false">ROUND((D11-C11)*1440,0)-E11</f>
        <v>48</v>
      </c>
      <c r="G11" s="11" t="n">
        <f aca="false">SUMIFS(シーン見積!$G$4:$G$25,シーン見積!$C$4:$C$25,A11)</f>
        <v>45</v>
      </c>
      <c r="H11" s="11" t="n">
        <f aca="false">SUMIFS(移動!$G$16:$G$32,移動!$A$16:$A$32,A11)</f>
        <v>0</v>
      </c>
      <c r="I11" s="11" t="n">
        <f aca="false">F11-G11-H11</f>
        <v>3</v>
      </c>
      <c r="J11" s="10" t="n">
        <v>0</v>
      </c>
      <c r="K11" s="11" t="n">
        <f aca="false">SUMIFS(シーン見積!$Z$4:$Z$25,シーン見積!$C$4:$C$25,A11)+SUMIFS(移動!$D$16:$D$32,移動!$A$16:$A$32,A11)+J11*係数!$B$14</f>
        <v>15</v>
      </c>
      <c r="L11" s="9" t="n">
        <f aca="false">SUMIFS(シーン見積!$AD$4:$AD$25,シーン見積!$C$4:$C$25,A11)+SUMIFS(移動!$E$16:$E$32,移動!$A$16:$A$32,A11)+J11*係数!$C$14</f>
        <v>25</v>
      </c>
      <c r="M11" s="11" t="n">
        <f aca="false">SUMIFS(シーン見積!$AH$4:$AH$25,シーン見積!$C$4:$C$25,A11)+SUMIFS(移動!$F$16:$F$32,移動!$A$16:$A$32,A11)+J11*係数!$D$14</f>
        <v>37</v>
      </c>
      <c r="N11" s="29" t="n">
        <f aca="false">F11-K11</f>
        <v>33</v>
      </c>
      <c r="O11" s="29" t="n">
        <f aca="false">F11-L11</f>
        <v>23</v>
      </c>
      <c r="P11" s="29" t="n">
        <f aca="false">F11-M11</f>
        <v>11</v>
      </c>
      <c r="Q11" s="30" t="n">
        <f aca="false">IF(I11&gt;0,MAX(0,L11-G11-H11)/I11,"予備なし")</f>
        <v>0</v>
      </c>
      <c r="R11" s="30" t="n">
        <f aca="false">IF(I11&gt;0,MAX(0,M11-G11-H11)/I11,"予備なし")</f>
        <v>0</v>
      </c>
      <c r="S11" s="26" t="n">
        <f aca="false">MAX(C11,S10)+(E11+K11)/1440</f>
        <v>0.697916666666667</v>
      </c>
      <c r="T11" s="31" t="n">
        <f aca="false">MAX(C11,T10)+(E11+L11)/1440</f>
        <v>0.782638888888889</v>
      </c>
      <c r="U11" s="26" t="n">
        <f aca="false">MAX(C11,U10)+(E11+M11)/1440</f>
        <v>0.929861111111111</v>
      </c>
      <c r="V11" s="9" t="str">
        <f aca="false">IF(T11&lt;=D11+1/2880,"収まる",IF(S11&lt;=D11+1/2880,"条件付き","超過"))</f>
        <v>条件付き</v>
      </c>
      <c r="W11" s="7" t="str">
        <f aca="false">IF(U11&lt;=D11+1/2880,"収まる","超過")</f>
        <v>超過</v>
      </c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customFormat="false" ht="15" hidden="false" customHeight="false" outlineLevel="0" collapsed="false">
      <c r="A14" s="4" t="s">
        <v>306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customFormat="false" ht="26.85" hidden="false" customHeight="false" outlineLevel="0" collapsed="false">
      <c r="A15" s="6" t="s">
        <v>307</v>
      </c>
      <c r="B15" s="6" t="s">
        <v>68</v>
      </c>
      <c r="C15" s="6" t="s">
        <v>288</v>
      </c>
      <c r="D15" s="6" t="s">
        <v>294</v>
      </c>
      <c r="E15" s="6" t="s">
        <v>295</v>
      </c>
      <c r="F15" s="6" t="s">
        <v>297</v>
      </c>
      <c r="G15" s="6" t="s">
        <v>298</v>
      </c>
      <c r="H15" s="6" t="s">
        <v>302</v>
      </c>
      <c r="I15" s="6" t="s">
        <v>303</v>
      </c>
      <c r="J15" s="6" t="s">
        <v>286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customFormat="false" ht="15" hidden="false" customHeight="false" outlineLevel="0" collapsed="false">
      <c r="A16" s="28" t="s">
        <v>308</v>
      </c>
      <c r="B16" s="14" t="n">
        <v>46326</v>
      </c>
      <c r="C16" s="32" t="n">
        <f aca="false">SUMIFS($F$5:$F$11,$B$5:$B$11,B16)</f>
        <v>280</v>
      </c>
      <c r="D16" s="32" t="n">
        <f aca="false">SUMIFS($L$5:$L$11,$B$5:$B$11,B16)</f>
        <v>187</v>
      </c>
      <c r="E16" s="32" t="n">
        <f aca="false">SUMIFS($M$5:$M$11,$B$5:$B$11,B16)</f>
        <v>280</v>
      </c>
      <c r="F16" s="32" t="n">
        <f aca="false">SUMIFS($O$5:$O$11,$B$5:$B$11,B16)</f>
        <v>93</v>
      </c>
      <c r="G16" s="32" t="n">
        <f aca="false">SUMIFS($P$5:$P$11,$B$5:$B$11,B16)</f>
        <v>0</v>
      </c>
      <c r="H16" s="24" t="n">
        <f aca="false">T5</f>
        <v>0.64375</v>
      </c>
      <c r="I16" s="24" t="n">
        <f aca="false">U5</f>
        <v>0.708333333333333</v>
      </c>
      <c r="J16" s="24" t="n">
        <f aca="false">D5</f>
        <v>0.708333333333333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customFormat="false" ht="15" hidden="false" customHeight="false" outlineLevel="0" collapsed="false">
      <c r="A17" s="28" t="s">
        <v>309</v>
      </c>
      <c r="B17" s="14" t="n">
        <v>46327</v>
      </c>
      <c r="C17" s="32" t="n">
        <f aca="false">SUMIFS($F$5:$F$11,$B$5:$B$11,B17)</f>
        <v>340</v>
      </c>
      <c r="D17" s="32" t="n">
        <f aca="false">SUMIFS($L$5:$L$11,$B$5:$B$11,B17)</f>
        <v>384</v>
      </c>
      <c r="E17" s="32" t="n">
        <f aca="false">SUMIFS($M$5:$M$11,$B$5:$B$11,B17)</f>
        <v>571</v>
      </c>
      <c r="F17" s="32" t="n">
        <f aca="false">SUMIFS($O$5:$O$11,$B$5:$B$11,B17)</f>
        <v>-44</v>
      </c>
      <c r="G17" s="32" t="n">
        <f aca="false">SUMIFS($P$5:$P$11,$B$5:$B$11,B17)</f>
        <v>-231</v>
      </c>
      <c r="H17" s="24" t="n">
        <f aca="false">T7</f>
        <v>0.738888888888889</v>
      </c>
      <c r="I17" s="24" t="n">
        <f aca="false">U7</f>
        <v>0.86875</v>
      </c>
      <c r="J17" s="24" t="n">
        <f aca="false">D7</f>
        <v>0.708333333333333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customFormat="false" ht="15" hidden="false" customHeight="false" outlineLevel="0" collapsed="false">
      <c r="A18" s="28" t="s">
        <v>310</v>
      </c>
      <c r="B18" s="14" t="n">
        <v>46329</v>
      </c>
      <c r="C18" s="32" t="n">
        <f aca="false">SUMIFS($F$5:$F$11,$B$5:$B$11,B18)</f>
        <v>522</v>
      </c>
      <c r="D18" s="32" t="n">
        <f aca="false">SUMIFS($L$5:$L$11,$B$5:$B$11,B18)</f>
        <v>602</v>
      </c>
      <c r="E18" s="32" t="n">
        <f aca="false">SUMIFS($M$5:$M$11,$B$5:$B$11,B18)</f>
        <v>881</v>
      </c>
      <c r="F18" s="32" t="n">
        <f aca="false">SUMIFS($O$5:$O$11,$B$5:$B$11,B18)</f>
        <v>-80</v>
      </c>
      <c r="G18" s="32" t="n">
        <f aca="false">SUMIFS($P$5:$P$11,$B$5:$B$11,B18)</f>
        <v>-359</v>
      </c>
      <c r="H18" s="24" t="n">
        <f aca="false">T9</f>
        <v>0.786111111111111</v>
      </c>
      <c r="I18" s="24" t="n">
        <f aca="false">U9</f>
        <v>0.979861111111111</v>
      </c>
      <c r="J18" s="24" t="n">
        <f aca="false">D9</f>
        <v>0.730555555555556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customFormat="false" ht="15" hidden="false" customHeight="false" outlineLevel="0" collapsed="false">
      <c r="A19" s="28" t="s">
        <v>311</v>
      </c>
      <c r="B19" s="14" t="n">
        <v>46333</v>
      </c>
      <c r="C19" s="32" t="n">
        <f aca="false">SUMIFS($F$5:$F$11,$B$5:$B$11,B19)</f>
        <v>328</v>
      </c>
      <c r="D19" s="32" t="n">
        <f aca="false">SUMIFS($L$5:$L$11,$B$5:$B$11,B19)</f>
        <v>417</v>
      </c>
      <c r="E19" s="32" t="n">
        <f aca="false">SUMIFS($M$5:$M$11,$B$5:$B$11,B19)</f>
        <v>629</v>
      </c>
      <c r="F19" s="32" t="n">
        <f aca="false">SUMIFS($O$5:$O$11,$B$5:$B$11,B19)</f>
        <v>-89</v>
      </c>
      <c r="G19" s="32" t="n">
        <f aca="false">SUMIFS($P$5:$P$11,$B$5:$B$11,B19)</f>
        <v>-301</v>
      </c>
      <c r="H19" s="24" t="n">
        <f aca="false">T11</f>
        <v>0.782638888888889</v>
      </c>
      <c r="I19" s="24" t="n">
        <f aca="false">U11</f>
        <v>0.929861111111111</v>
      </c>
      <c r="J19" s="24" t="n">
        <f aca="false">D11</f>
        <v>0.720833333333333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</sheetData>
  <conditionalFormatting sqref="V5:W11">
    <cfRule type="cellIs" priority="2" operator="equal" aboveAverage="0" equalAverage="0" bottom="0" percent="0" rank="0" text="" dxfId="0">
      <formula>"超過"</formula>
    </cfRule>
    <cfRule type="cellIs" priority="3" operator="equal" aboveAverage="0" equalAverage="0" bottom="0" percent="0" rank="0" text="" dxfId="1">
      <formula>"条件付き"</formula>
    </cfRule>
    <cfRule type="cellIs" priority="4" operator="equal" aboveAverage="0" equalAverage="0" bottom="0" percent="0" rank="0" text="" dxfId="2">
      <formula>"収まる"</formula>
    </cfRule>
  </conditionalFormatting>
  <conditionalFormatting sqref="N5:P11">
    <cfRule type="cellIs" priority="5" operator="lessThan" aboveAverage="0" equalAverage="0" bottom="0" percent="0" rank="0" text="" dxfId="3">
      <formula>0</formula>
    </cfRule>
  </conditionalFormatting>
  <conditionalFormatting sqref="F16:G19">
    <cfRule type="cellIs" priority="6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8" min="6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4" min="11" style="0" width="9"/>
    <col collapsed="false" customWidth="true" hidden="false" outlineLevel="0" max="15" min="15" style="0" width="52"/>
  </cols>
  <sheetData>
    <row r="1" customFormat="false" ht="15" hidden="false" customHeight="false" outlineLevel="0" collapsed="false">
      <c r="A1" s="4" t="s">
        <v>312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12" t="s">
        <v>313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customFormat="false" ht="31.5" hidden="false" customHeight="true" outlineLevel="0" collapsed="false">
      <c r="A4" s="6" t="s">
        <v>68</v>
      </c>
      <c r="B4" s="6" t="s">
        <v>314</v>
      </c>
      <c r="C4" s="6" t="s">
        <v>315</v>
      </c>
      <c r="D4" s="6" t="s">
        <v>316</v>
      </c>
      <c r="E4" s="6" t="s">
        <v>317</v>
      </c>
      <c r="F4" s="6" t="s">
        <v>318</v>
      </c>
      <c r="G4" s="6" t="s">
        <v>287</v>
      </c>
      <c r="H4" s="6" t="s">
        <v>319</v>
      </c>
      <c r="I4" s="6" t="s">
        <v>320</v>
      </c>
      <c r="J4" s="6" t="s">
        <v>321</v>
      </c>
      <c r="K4" s="6" t="s">
        <v>322</v>
      </c>
      <c r="L4" s="6" t="s">
        <v>323</v>
      </c>
      <c r="M4" s="6" t="s">
        <v>324</v>
      </c>
      <c r="N4" s="6" t="s">
        <v>325</v>
      </c>
      <c r="O4" s="6" t="s">
        <v>51</v>
      </c>
    </row>
    <row r="5" customFormat="false" ht="15" hidden="false" customHeight="false" outlineLevel="0" collapsed="false">
      <c r="A5" s="14" t="n">
        <v>46326</v>
      </c>
      <c r="B5" s="7" t="s">
        <v>326</v>
      </c>
      <c r="C5" s="20" t="n">
        <v>0.416666666666667</v>
      </c>
      <c r="D5" s="20" t="n">
        <v>0.534722222222222</v>
      </c>
      <c r="E5" s="26" t="n">
        <f aca="false">D5+15/1440</f>
        <v>0.545138888888889</v>
      </c>
      <c r="F5" s="11" t="n">
        <f aca="false">ROUND((E5-C5)*1440,0)</f>
        <v>185</v>
      </c>
      <c r="G5" s="10" t="n">
        <v>0</v>
      </c>
      <c r="H5" s="11" t="n">
        <f aca="false">F5-G5</f>
        <v>185</v>
      </c>
      <c r="I5" s="10" t="n">
        <v>70</v>
      </c>
      <c r="J5" s="11" t="n">
        <f aca="false">H5-I5</f>
        <v>115</v>
      </c>
      <c r="K5" s="7" t="str">
        <f aca="false">IF(H5&gt;係数!$B$34,"超える",IF(H5&gt;係数!$B$34-30,"ギリギリ","OK"))</f>
        <v>OK</v>
      </c>
      <c r="L5" s="20" t="n">
        <v>0.416666666666667</v>
      </c>
      <c r="M5" s="26" t="n">
        <f aca="false">E5</f>
        <v>0.545138888888889</v>
      </c>
      <c r="N5" s="11" t="n">
        <f aca="false">ROUND((M5-L5)*1440,0)-IF(M5-L5&gt;4/24,G5,0)</f>
        <v>185</v>
      </c>
      <c r="O5" s="11" t="s">
        <v>327</v>
      </c>
    </row>
    <row r="6" customFormat="false" ht="15" hidden="false" customHeight="false" outlineLevel="0" collapsed="false">
      <c r="A6" s="14" t="n">
        <v>46326</v>
      </c>
      <c r="B6" s="7" t="s">
        <v>328</v>
      </c>
      <c r="C6" s="20" t="n">
        <v>0.416666666666667</v>
      </c>
      <c r="D6" s="20" t="n">
        <v>0.534722222222222</v>
      </c>
      <c r="E6" s="26" t="n">
        <f aca="false">D6+15/1440</f>
        <v>0.545138888888889</v>
      </c>
      <c r="F6" s="11" t="n">
        <f aca="false">ROUND((E6-C6)*1440,0)</f>
        <v>185</v>
      </c>
      <c r="G6" s="10" t="n">
        <v>0</v>
      </c>
      <c r="H6" s="11" t="n">
        <f aca="false">F6-G6</f>
        <v>185</v>
      </c>
      <c r="I6" s="10" t="n">
        <v>70</v>
      </c>
      <c r="J6" s="11" t="n">
        <f aca="false">H6-I6</f>
        <v>115</v>
      </c>
      <c r="K6" s="7" t="str">
        <f aca="false">IF(H6&gt;係数!$B$34,"超える",IF(H6&gt;係数!$B$34-30,"ギリギリ","OK"))</f>
        <v>OK</v>
      </c>
      <c r="L6" s="20" t="n">
        <v>0.416666666666667</v>
      </c>
      <c r="M6" s="26" t="n">
        <f aca="false">E6</f>
        <v>0.545138888888889</v>
      </c>
      <c r="N6" s="11" t="n">
        <f aca="false">ROUND((M6-L6)*1440,0)-IF(M6-L6&gt;4/24,G6,0)</f>
        <v>185</v>
      </c>
      <c r="O6" s="7" t="s">
        <v>329</v>
      </c>
    </row>
    <row r="7" customFormat="false" ht="15" hidden="false" customHeight="false" outlineLevel="0" collapsed="false">
      <c r="A7" s="14" t="n">
        <v>46326</v>
      </c>
      <c r="B7" s="7" t="s">
        <v>330</v>
      </c>
      <c r="C7" s="20" t="n">
        <v>0.416666666666667</v>
      </c>
      <c r="D7" s="20" t="n">
        <v>0.666666666666667</v>
      </c>
      <c r="E7" s="26" t="n">
        <f aca="false">D7+15/1440</f>
        <v>0.677083333333333</v>
      </c>
      <c r="F7" s="11" t="n">
        <f aca="false">ROUND((E7-C7)*1440,0)</f>
        <v>375</v>
      </c>
      <c r="G7" s="10" t="n">
        <v>50</v>
      </c>
      <c r="H7" s="11" t="n">
        <f aca="false">F7-G7</f>
        <v>325</v>
      </c>
      <c r="I7" s="10" t="n">
        <v>90</v>
      </c>
      <c r="J7" s="11" t="n">
        <f aca="false">H7-I7</f>
        <v>235</v>
      </c>
      <c r="K7" s="7" t="str">
        <f aca="false">IF(H7&gt;係数!$B$34,"超える",IF(H7&gt;係数!$B$34-30,"ギリギリ","OK"))</f>
        <v>OK</v>
      </c>
      <c r="L7" s="20" t="n">
        <v>0.541666666666667</v>
      </c>
      <c r="M7" s="26" t="n">
        <f aca="false">E7</f>
        <v>0.677083333333333</v>
      </c>
      <c r="N7" s="11" t="n">
        <f aca="false">ROUND((M7-L7)*1440,0)-IF(M7-L7&gt;4/24,G7,0)</f>
        <v>195</v>
      </c>
      <c r="O7" s="7" t="s">
        <v>331</v>
      </c>
    </row>
    <row r="8" customFormat="false" ht="15" hidden="false" customHeight="false" outlineLevel="0" collapsed="false">
      <c r="A8" s="14" t="n">
        <v>46326</v>
      </c>
      <c r="B8" s="7" t="s">
        <v>332</v>
      </c>
      <c r="C8" s="20" t="n">
        <v>0.458333333333333</v>
      </c>
      <c r="D8" s="20" t="n">
        <v>0.708333333333333</v>
      </c>
      <c r="E8" s="26" t="n">
        <f aca="false">D8+15/1440</f>
        <v>0.71875</v>
      </c>
      <c r="F8" s="11" t="n">
        <f aca="false">ROUND((E8-C8)*1440,0)</f>
        <v>375</v>
      </c>
      <c r="G8" s="10" t="n">
        <v>50</v>
      </c>
      <c r="H8" s="11" t="n">
        <f aca="false">F8-G8</f>
        <v>325</v>
      </c>
      <c r="I8" s="10" t="n">
        <v>125</v>
      </c>
      <c r="J8" s="11" t="n">
        <f aca="false">H8-I8</f>
        <v>200</v>
      </c>
      <c r="K8" s="7" t="str">
        <f aca="false">IF(H8&gt;係数!$B$34,"超える",IF(H8&gt;係数!$B$34-30,"ギリギリ","OK"))</f>
        <v>OK</v>
      </c>
      <c r="L8" s="20" t="n">
        <v>0.458333333333333</v>
      </c>
      <c r="M8" s="26" t="n">
        <v>0.611111111111111</v>
      </c>
      <c r="N8" s="11" t="n">
        <f aca="false">ROUND((M8-L8)*1440,0)-IF(M8-L8&gt;4/24,G8,0)</f>
        <v>220</v>
      </c>
      <c r="O8" s="11" t="s">
        <v>333</v>
      </c>
    </row>
    <row r="9" customFormat="false" ht="15" hidden="false" customHeight="false" outlineLevel="0" collapsed="false">
      <c r="A9" s="14" t="n">
        <v>46326</v>
      </c>
      <c r="B9" s="7" t="s">
        <v>334</v>
      </c>
      <c r="C9" s="20" t="n">
        <v>0.458333333333333</v>
      </c>
      <c r="D9" s="20" t="n">
        <v>0.666666666666667</v>
      </c>
      <c r="E9" s="26" t="n">
        <f aca="false">D9+15/1440</f>
        <v>0.677083333333333</v>
      </c>
      <c r="F9" s="11" t="n">
        <f aca="false">ROUND((E9-C9)*1440,0)</f>
        <v>315</v>
      </c>
      <c r="G9" s="10" t="n">
        <v>50</v>
      </c>
      <c r="H9" s="11" t="n">
        <f aca="false">F9-G9</f>
        <v>265</v>
      </c>
      <c r="I9" s="10" t="n">
        <v>200</v>
      </c>
      <c r="J9" s="11" t="n">
        <f aca="false">H9-I9</f>
        <v>65</v>
      </c>
      <c r="K9" s="7" t="str">
        <f aca="false">IF(H9&gt;係数!$B$34,"超える",IF(H9&gt;係数!$B$34-30,"ギリギリ","OK"))</f>
        <v>OK</v>
      </c>
      <c r="L9" s="20" t="n">
        <v>0.458333333333333</v>
      </c>
      <c r="M9" s="26" t="n">
        <f aca="false">E9</f>
        <v>0.677083333333333</v>
      </c>
      <c r="N9" s="11" t="n">
        <f aca="false">ROUND((M9-L9)*1440,0)-IF(M9-L9&gt;4/24,G9,0)</f>
        <v>265</v>
      </c>
      <c r="O9" s="11" t="s">
        <v>335</v>
      </c>
    </row>
    <row r="10" customFormat="false" ht="15" hidden="false" customHeight="false" outlineLevel="0" collapsed="false">
      <c r="A10" s="14" t="n">
        <v>46327</v>
      </c>
      <c r="B10" s="7" t="s">
        <v>326</v>
      </c>
      <c r="C10" s="20" t="n">
        <v>0.375</v>
      </c>
      <c r="D10" s="20" t="n">
        <v>0.6875</v>
      </c>
      <c r="E10" s="26" t="n">
        <f aca="false">D10+15/1440</f>
        <v>0.697916666666667</v>
      </c>
      <c r="F10" s="11" t="n">
        <f aca="false">ROUND((E10-C10)*1440,0)</f>
        <v>465</v>
      </c>
      <c r="G10" s="10" t="n">
        <v>50</v>
      </c>
      <c r="H10" s="11" t="n">
        <f aca="false">F10-G10</f>
        <v>415</v>
      </c>
      <c r="I10" s="10" t="n">
        <v>240</v>
      </c>
      <c r="J10" s="11" t="n">
        <f aca="false">H10-I10</f>
        <v>175</v>
      </c>
      <c r="K10" s="7" t="str">
        <f aca="false">IF(H10&gt;係数!$B$34,"超える",IF(H10&gt;係数!$B$34-30,"ギリギリ","OK"))</f>
        <v>ギリギリ</v>
      </c>
      <c r="L10" s="20" t="n">
        <v>0.375</v>
      </c>
      <c r="M10" s="26" t="n">
        <f aca="false">E10</f>
        <v>0.697916666666667</v>
      </c>
      <c r="N10" s="11" t="n">
        <f aca="false">ROUND((M10-L10)*1440,0)-IF(M10-L10&gt;4/24,G10,0)</f>
        <v>415</v>
      </c>
      <c r="O10" s="11"/>
    </row>
    <row r="11" customFormat="false" ht="15" hidden="false" customHeight="false" outlineLevel="0" collapsed="false">
      <c r="A11" s="14" t="n">
        <v>46327</v>
      </c>
      <c r="B11" s="7" t="s">
        <v>330</v>
      </c>
      <c r="C11" s="20" t="n">
        <v>0.375</v>
      </c>
      <c r="D11" s="20" t="n">
        <v>0.6875</v>
      </c>
      <c r="E11" s="26" t="n">
        <f aca="false">D11+15/1440</f>
        <v>0.697916666666667</v>
      </c>
      <c r="F11" s="11" t="n">
        <f aca="false">ROUND((E11-C11)*1440,0)</f>
        <v>465</v>
      </c>
      <c r="G11" s="10" t="n">
        <v>50</v>
      </c>
      <c r="H11" s="11" t="n">
        <f aca="false">F11-G11</f>
        <v>415</v>
      </c>
      <c r="I11" s="10" t="n">
        <v>210</v>
      </c>
      <c r="J11" s="11" t="n">
        <f aca="false">H11-I11</f>
        <v>205</v>
      </c>
      <c r="K11" s="7" t="str">
        <f aca="false">IF(H11&gt;係数!$B$34,"超える",IF(H11&gt;係数!$B$34-30,"ギリギリ","OK"))</f>
        <v>ギリギリ</v>
      </c>
      <c r="L11" s="20" t="n">
        <v>0.375</v>
      </c>
      <c r="M11" s="26" t="n">
        <f aca="false">E11</f>
        <v>0.697916666666667</v>
      </c>
      <c r="N11" s="11" t="n">
        <f aca="false">ROUND((M11-L11)*1440,0)-IF(M11-L11&gt;4/24,G11,0)</f>
        <v>415</v>
      </c>
      <c r="O11" s="11" t="s">
        <v>336</v>
      </c>
    </row>
    <row r="12" customFormat="false" ht="15" hidden="false" customHeight="false" outlineLevel="0" collapsed="false">
      <c r="A12" s="14" t="n">
        <v>46327</v>
      </c>
      <c r="B12" s="7" t="s">
        <v>337</v>
      </c>
      <c r="C12" s="20" t="n">
        <v>0.416666666666667</v>
      </c>
      <c r="D12" s="20" t="n">
        <v>0.6875</v>
      </c>
      <c r="E12" s="26" t="n">
        <f aca="false">D12+15/1440</f>
        <v>0.697916666666667</v>
      </c>
      <c r="F12" s="11" t="n">
        <f aca="false">ROUND((E12-C12)*1440,0)</f>
        <v>405</v>
      </c>
      <c r="G12" s="10" t="n">
        <v>50</v>
      </c>
      <c r="H12" s="11" t="n">
        <f aca="false">F12-G12</f>
        <v>355</v>
      </c>
      <c r="I12" s="10" t="n">
        <v>230</v>
      </c>
      <c r="J12" s="11" t="n">
        <f aca="false">H12-I12</f>
        <v>125</v>
      </c>
      <c r="K12" s="7" t="str">
        <f aca="false">IF(H12&gt;係数!$B$34,"超える",IF(H12&gt;係数!$B$34-30,"ギリギリ","OK"))</f>
        <v>OK</v>
      </c>
      <c r="L12" s="20" t="n">
        <v>0.416666666666667</v>
      </c>
      <c r="M12" s="26" t="n">
        <f aca="false">E12</f>
        <v>0.697916666666667</v>
      </c>
      <c r="N12" s="11" t="n">
        <f aca="false">ROUND((M12-L12)*1440,0)-IF(M12-L12&gt;4/24,G12,0)</f>
        <v>355</v>
      </c>
      <c r="O12" s="11" t="s">
        <v>338</v>
      </c>
    </row>
    <row r="13" customFormat="false" ht="15" hidden="false" customHeight="false" outlineLevel="0" collapsed="false">
      <c r="A13" s="14" t="n">
        <v>46329</v>
      </c>
      <c r="B13" s="7" t="s">
        <v>326</v>
      </c>
      <c r="C13" s="20" t="n">
        <v>0.3125</v>
      </c>
      <c r="D13" s="20" t="n">
        <v>0.6875</v>
      </c>
      <c r="E13" s="26" t="n">
        <f aca="false">D13+15/1440</f>
        <v>0.697916666666667</v>
      </c>
      <c r="F13" s="11" t="n">
        <f aca="false">ROUND((E13-C13)*1440,0)</f>
        <v>555</v>
      </c>
      <c r="G13" s="10" t="n">
        <v>50</v>
      </c>
      <c r="H13" s="11" t="n">
        <f aca="false">F13-G13</f>
        <v>505</v>
      </c>
      <c r="I13" s="10" t="n">
        <v>375</v>
      </c>
      <c r="J13" s="11" t="n">
        <f aca="false">H13-I13</f>
        <v>130</v>
      </c>
      <c r="K13" s="7" t="str">
        <f aca="false">IF(H13&gt;係数!$B$34,"超える",IF(H13&gt;係数!$B$34-30,"ギリギリ","OK"))</f>
        <v>超える</v>
      </c>
      <c r="L13" s="20" t="n">
        <v>0.3125</v>
      </c>
      <c r="M13" s="26" t="n">
        <f aca="false">E13</f>
        <v>0.697916666666667</v>
      </c>
      <c r="N13" s="11" t="n">
        <f aca="false">ROUND((M13-L13)*1440,0)-IF(M13-L13&gt;4/24,G13,0)</f>
        <v>505</v>
      </c>
      <c r="O13" s="7" t="s">
        <v>339</v>
      </c>
    </row>
    <row r="14" customFormat="false" ht="15" hidden="false" customHeight="false" outlineLevel="0" collapsed="false">
      <c r="A14" s="14" t="n">
        <v>46329</v>
      </c>
      <c r="B14" s="7" t="s">
        <v>328</v>
      </c>
      <c r="C14" s="20" t="n">
        <v>0.3125</v>
      </c>
      <c r="D14" s="20" t="n">
        <v>0.6875</v>
      </c>
      <c r="E14" s="26" t="n">
        <f aca="false">D14+15/1440</f>
        <v>0.697916666666667</v>
      </c>
      <c r="F14" s="11" t="n">
        <f aca="false">ROUND((E14-C14)*1440,0)</f>
        <v>555</v>
      </c>
      <c r="G14" s="10" t="n">
        <v>50</v>
      </c>
      <c r="H14" s="11" t="n">
        <f aca="false">F14-G14</f>
        <v>505</v>
      </c>
      <c r="I14" s="10" t="n">
        <v>315</v>
      </c>
      <c r="J14" s="11" t="n">
        <f aca="false">H14-I14</f>
        <v>190</v>
      </c>
      <c r="K14" s="7" t="str">
        <f aca="false">IF(H14&gt;係数!$B$34,"超える",IF(H14&gt;係数!$B$34-30,"ギリギリ","OK"))</f>
        <v>超える</v>
      </c>
      <c r="L14" s="20" t="n">
        <v>0.3125</v>
      </c>
      <c r="M14" s="26" t="n">
        <f aca="false">E14</f>
        <v>0.697916666666667</v>
      </c>
      <c r="N14" s="11" t="n">
        <f aca="false">ROUND((M14-L14)*1440,0)-IF(M14-L14&gt;4/24,G14,0)</f>
        <v>505</v>
      </c>
      <c r="O14" s="7" t="s">
        <v>329</v>
      </c>
    </row>
    <row r="15" customFormat="false" ht="15" hidden="false" customHeight="false" outlineLevel="0" collapsed="false">
      <c r="A15" s="14" t="n">
        <v>46329</v>
      </c>
      <c r="B15" s="7" t="s">
        <v>330</v>
      </c>
      <c r="C15" s="20" t="n">
        <v>0.3125</v>
      </c>
      <c r="D15" s="20" t="n">
        <v>0.541666666666667</v>
      </c>
      <c r="E15" s="26" t="n">
        <f aca="false">D15+15/1440</f>
        <v>0.552083333333333</v>
      </c>
      <c r="F15" s="11" t="n">
        <f aca="false">ROUND((E15-C15)*1440,0)</f>
        <v>345</v>
      </c>
      <c r="G15" s="10" t="n">
        <v>50</v>
      </c>
      <c r="H15" s="11" t="n">
        <f aca="false">F15-G15</f>
        <v>295</v>
      </c>
      <c r="I15" s="10" t="n">
        <v>180</v>
      </c>
      <c r="J15" s="11" t="n">
        <f aca="false">H15-I15</f>
        <v>115</v>
      </c>
      <c r="K15" s="7" t="str">
        <f aca="false">IF(H15&gt;係数!$B$34,"超える",IF(H15&gt;係数!$B$34-30,"ギリギリ","OK"))</f>
        <v>OK</v>
      </c>
      <c r="L15" s="20" t="n">
        <v>0.3125</v>
      </c>
      <c r="M15" s="26" t="n">
        <f aca="false">E15</f>
        <v>0.552083333333333</v>
      </c>
      <c r="N15" s="11" t="n">
        <f aca="false">ROUND((M15-L15)*1440,0)-IF(M15-L15&gt;4/24,G15,0)</f>
        <v>295</v>
      </c>
      <c r="O15" s="11" t="s">
        <v>340</v>
      </c>
    </row>
    <row r="16" customFormat="false" ht="15" hidden="false" customHeight="false" outlineLevel="0" collapsed="false">
      <c r="A16" s="14" t="n">
        <v>46329</v>
      </c>
      <c r="B16" s="7" t="s">
        <v>341</v>
      </c>
      <c r="C16" s="20" t="n">
        <v>0.3125</v>
      </c>
      <c r="D16" s="20" t="n">
        <v>0.465277777777778</v>
      </c>
      <c r="E16" s="26" t="n">
        <f aca="false">D16+15/1440</f>
        <v>0.475694444444444</v>
      </c>
      <c r="F16" s="11" t="n">
        <f aca="false">ROUND((E16-C16)*1440,0)</f>
        <v>235</v>
      </c>
      <c r="G16" s="10" t="n">
        <v>0</v>
      </c>
      <c r="H16" s="11" t="n">
        <f aca="false">F16-G16</f>
        <v>235</v>
      </c>
      <c r="I16" s="10" t="n">
        <v>60</v>
      </c>
      <c r="J16" s="11" t="n">
        <f aca="false">H16-I16</f>
        <v>175</v>
      </c>
      <c r="K16" s="7" t="str">
        <f aca="false">IF(H16&gt;係数!$B$34,"超える",IF(H16&gt;係数!$B$34-30,"ギリギリ","OK"))</f>
        <v>OK</v>
      </c>
      <c r="L16" s="20" t="n">
        <v>0.395833333333333</v>
      </c>
      <c r="M16" s="26" t="n">
        <f aca="false">E16</f>
        <v>0.475694444444444</v>
      </c>
      <c r="N16" s="11" t="n">
        <f aca="false">ROUND((M16-L16)*1440,0)-IF(M16-L16&gt;4/24,G16,0)</f>
        <v>115</v>
      </c>
      <c r="O16" s="7" t="s">
        <v>342</v>
      </c>
    </row>
    <row r="17" customFormat="false" ht="15" hidden="false" customHeight="false" outlineLevel="0" collapsed="false">
      <c r="A17" s="14" t="n">
        <v>46333</v>
      </c>
      <c r="B17" s="7" t="s">
        <v>326</v>
      </c>
      <c r="C17" s="20" t="n">
        <v>0.4375</v>
      </c>
      <c r="D17" s="20" t="n">
        <v>0.71875</v>
      </c>
      <c r="E17" s="26" t="n">
        <f aca="false">D17+15/1440</f>
        <v>0.729166666666667</v>
      </c>
      <c r="F17" s="11" t="n">
        <f aca="false">ROUND((E17-C17)*1440,0)</f>
        <v>420</v>
      </c>
      <c r="G17" s="10" t="n">
        <v>50</v>
      </c>
      <c r="H17" s="11" t="n">
        <f aca="false">F17-G17</f>
        <v>370</v>
      </c>
      <c r="I17" s="10" t="n">
        <v>255</v>
      </c>
      <c r="J17" s="11" t="n">
        <f aca="false">H17-I17</f>
        <v>115</v>
      </c>
      <c r="K17" s="7" t="str">
        <f aca="false">IF(H17&gt;係数!$B$34,"超える",IF(H17&gt;係数!$B$34-30,"ギリギリ","OK"))</f>
        <v>OK</v>
      </c>
      <c r="L17" s="20" t="n">
        <v>0.4375</v>
      </c>
      <c r="M17" s="26" t="n">
        <f aca="false">E17</f>
        <v>0.729166666666667</v>
      </c>
      <c r="N17" s="11" t="n">
        <f aca="false">ROUND((M17-L17)*1440,0)-IF(M17-L17&gt;4/24,G17,0)</f>
        <v>370</v>
      </c>
      <c r="O17" s="7" t="s">
        <v>343</v>
      </c>
    </row>
    <row r="18" customFormat="false" ht="15" hidden="false" customHeight="false" outlineLevel="0" collapsed="false">
      <c r="A18" s="14" t="n">
        <v>46333</v>
      </c>
      <c r="B18" s="7" t="s">
        <v>328</v>
      </c>
      <c r="C18" s="20" t="n">
        <v>0.4375</v>
      </c>
      <c r="D18" s="20" t="n">
        <v>0.71875</v>
      </c>
      <c r="E18" s="26" t="n">
        <f aca="false">D18+15/1440</f>
        <v>0.729166666666667</v>
      </c>
      <c r="F18" s="11" t="n">
        <f aca="false">ROUND((E18-C18)*1440,0)</f>
        <v>420</v>
      </c>
      <c r="G18" s="10" t="n">
        <v>50</v>
      </c>
      <c r="H18" s="11" t="n">
        <f aca="false">F18-G18</f>
        <v>370</v>
      </c>
      <c r="I18" s="10" t="n">
        <v>255</v>
      </c>
      <c r="J18" s="11" t="n">
        <f aca="false">H18-I18</f>
        <v>115</v>
      </c>
      <c r="K18" s="7" t="str">
        <f aca="false">IF(H18&gt;係数!$B$34,"超える",IF(H18&gt;係数!$B$34-30,"ギリギリ","OK"))</f>
        <v>OK</v>
      </c>
      <c r="L18" s="20" t="n">
        <v>0.4375</v>
      </c>
      <c r="M18" s="26" t="n">
        <f aca="false">E18</f>
        <v>0.729166666666667</v>
      </c>
      <c r="N18" s="11" t="n">
        <f aca="false">ROUND((M18-L18)*1440,0)-IF(M18-L18&gt;4/24,G18,0)</f>
        <v>370</v>
      </c>
      <c r="O18" s="7" t="s">
        <v>329</v>
      </c>
    </row>
  </sheetData>
  <conditionalFormatting sqref="K5:K18">
    <cfRule type="cellIs" priority="2" operator="equal" aboveAverage="0" equalAverage="0" bottom="0" percent="0" rank="0" text="" dxfId="0">
      <formula>"超える"</formula>
    </cfRule>
    <cfRule type="cellIs" priority="3" operator="equal" aboveAverage="0" equalAverage="0" bottom="0" percent="0" rank="0" text="" dxfId="1">
      <formula>"ギリギリ"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5" min="2" style="0" width="11"/>
  </cols>
  <sheetData>
    <row r="1" customFormat="false" ht="16.4" hidden="false" customHeight="false" outlineLevel="0" collapsed="false">
      <c r="A1" s="4" t="s">
        <v>344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12" t="s">
        <v>345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customFormat="false" ht="15" hidden="false" customHeight="false" outlineLevel="0" collapsed="false">
      <c r="A3" s="5"/>
      <c r="B3" s="5"/>
      <c r="C3" s="5"/>
      <c r="D3" s="5"/>
      <c r="E3" s="5"/>
      <c r="F3" s="1" t="s">
        <v>346</v>
      </c>
      <c r="G3" s="5"/>
      <c r="H3" s="5"/>
      <c r="I3" s="5"/>
      <c r="J3" s="5"/>
      <c r="K3" s="1" t="s">
        <v>347</v>
      </c>
      <c r="L3" s="5"/>
      <c r="M3" s="5"/>
      <c r="N3" s="5"/>
      <c r="O3" s="5"/>
    </row>
    <row r="4" customFormat="false" ht="26.85" hidden="false" customHeight="false" outlineLevel="0" collapsed="false">
      <c r="A4" s="13" t="s">
        <v>67</v>
      </c>
      <c r="B4" s="6" t="s">
        <v>69</v>
      </c>
      <c r="C4" s="6" t="s">
        <v>348</v>
      </c>
      <c r="D4" s="6" t="s">
        <v>73</v>
      </c>
      <c r="E4" s="6" t="s">
        <v>349</v>
      </c>
      <c r="F4" s="33" t="n">
        <v>0.75</v>
      </c>
      <c r="G4" s="33" t="n">
        <v>1</v>
      </c>
      <c r="H4" s="33" t="n">
        <v>1.25</v>
      </c>
      <c r="I4" s="33" t="n">
        <v>1.5</v>
      </c>
      <c r="J4" s="33" t="n">
        <v>2</v>
      </c>
      <c r="K4" s="34" t="n">
        <v>0.75</v>
      </c>
      <c r="L4" s="34" t="n">
        <v>1</v>
      </c>
      <c r="M4" s="34" t="n">
        <v>1.25</v>
      </c>
      <c r="N4" s="34" t="n">
        <v>1.5</v>
      </c>
      <c r="O4" s="34" t="n">
        <v>2</v>
      </c>
    </row>
    <row r="5" customFormat="false" ht="15" hidden="false" customHeight="false" outlineLevel="0" collapsed="false">
      <c r="A5" s="28" t="s">
        <v>175</v>
      </c>
      <c r="B5" s="32" t="str">
        <f aca="false">INDEX(シーン見積!$C$4:$C$25,MATCH(A5,シーン見積!$A$4:$A$25,0))</f>
        <v>D3a</v>
      </c>
      <c r="C5" s="35" t="n">
        <f aca="false">INDEX(シーン見積!$AD$4:$AD$25,MATCH(A5,シーン見積!$A$4:$A$25,0))</f>
        <v>94</v>
      </c>
      <c r="D5" s="32" t="n">
        <f aca="false">INDEX(シーン見積!$G$4:$G$25,MATCH(A5,シーン見積!$A$4:$A$25,0))</f>
        <v>60</v>
      </c>
      <c r="E5" s="32" t="n">
        <f aca="false">INDEX(日別!$O$5:$O$11,MATCH(B5,日別!$A$5:$A$11,0))</f>
        <v>-127</v>
      </c>
      <c r="F5" s="27" t="n">
        <f aca="false">E5-(F$4-1)*C5</f>
        <v>-103.5</v>
      </c>
      <c r="G5" s="27" t="n">
        <f aca="false">E5-(G$4-1)*C5</f>
        <v>-127</v>
      </c>
      <c r="H5" s="27" t="n">
        <f aca="false">E5-(H$4-1)*C5</f>
        <v>-150.5</v>
      </c>
      <c r="I5" s="27" t="n">
        <f aca="false">E5-(I$4-1)*C5</f>
        <v>-174</v>
      </c>
      <c r="J5" s="27" t="n">
        <f aca="false">E5-(J$4-1)*C5</f>
        <v>-221</v>
      </c>
      <c r="K5" s="24" t="n">
        <f aca="false">INDEX(日別!$T$5:$T$11,MATCH(B5,日別!$A$5:$A$11,0))+(K$4-1)*C5/1440</f>
        <v>0.707291666666667</v>
      </c>
      <c r="L5" s="24" t="n">
        <f aca="false">INDEX(日別!$T$5:$T$11,MATCH(B5,日別!$A$5:$A$11,0))+(L$4-1)*C5/1440</f>
        <v>0.723611111111111</v>
      </c>
      <c r="M5" s="24" t="n">
        <f aca="false">INDEX(日別!$T$5:$T$11,MATCH(B5,日別!$A$5:$A$11,0))+(M$4-1)*C5/1440</f>
        <v>0.739930555555556</v>
      </c>
      <c r="N5" s="24" t="n">
        <f aca="false">INDEX(日別!$T$5:$T$11,MATCH(B5,日別!$A$5:$A$11,0))+(N$4-1)*C5/1440</f>
        <v>0.75625</v>
      </c>
      <c r="O5" s="24" t="n">
        <f aca="false">INDEX(日別!$T$5:$T$11,MATCH(B5,日別!$A$5:$A$11,0))+(O$4-1)*C5/1440</f>
        <v>0.788888888888889</v>
      </c>
    </row>
    <row r="6" customFormat="false" ht="15" hidden="false" customHeight="false" outlineLevel="0" collapsed="false">
      <c r="A6" s="28" t="s">
        <v>194</v>
      </c>
      <c r="B6" s="32" t="str">
        <f aca="false">INDEX(シーン見積!$C$4:$C$25,MATCH(A6,シーン見積!$A$4:$A$25,0))</f>
        <v>D4a</v>
      </c>
      <c r="C6" s="35" t="n">
        <f aca="false">INDEX(シーン見積!$AD$4:$AD$25,MATCH(A6,シーン見積!$A$4:$A$25,0))</f>
        <v>173</v>
      </c>
      <c r="D6" s="32" t="n">
        <f aca="false">INDEX(シーン見積!$G$4:$G$25,MATCH(A6,シーン見積!$A$4:$A$25,0))</f>
        <v>90</v>
      </c>
      <c r="E6" s="32" t="n">
        <f aca="false">INDEX(日別!$O$5:$O$11,MATCH(B6,日別!$A$5:$A$11,0))</f>
        <v>-112</v>
      </c>
      <c r="F6" s="27" t="n">
        <f aca="false">E6-(F$4-1)*C6</f>
        <v>-68.75</v>
      </c>
      <c r="G6" s="27" t="n">
        <f aca="false">E6-(G$4-1)*C6</f>
        <v>-112</v>
      </c>
      <c r="H6" s="27" t="n">
        <f aca="false">E6-(H$4-1)*C6</f>
        <v>-155.25</v>
      </c>
      <c r="I6" s="27" t="n">
        <f aca="false">E6-(I$4-1)*C6</f>
        <v>-198.5</v>
      </c>
      <c r="J6" s="27" t="n">
        <f aca="false">E6-(J$4-1)*C6</f>
        <v>-285</v>
      </c>
      <c r="K6" s="24" t="n">
        <f aca="false">INDEX(日別!$T$5:$T$11,MATCH(B6,日別!$A$5:$A$11,0))+(K$4-1)*C6/1440</f>
        <v>0.735243055555556</v>
      </c>
      <c r="L6" s="24" t="n">
        <f aca="false">INDEX(日別!$T$5:$T$11,MATCH(B6,日別!$A$5:$A$11,0))+(L$4-1)*C6/1440</f>
        <v>0.765277777777778</v>
      </c>
      <c r="M6" s="24" t="n">
        <f aca="false">INDEX(日別!$T$5:$T$11,MATCH(B6,日別!$A$5:$A$11,0))+(M$4-1)*C6/1440</f>
        <v>0.7953125</v>
      </c>
      <c r="N6" s="24" t="n">
        <f aca="false">INDEX(日別!$T$5:$T$11,MATCH(B6,日別!$A$5:$A$11,0))+(N$4-1)*C6/1440</f>
        <v>0.825347222222222</v>
      </c>
      <c r="O6" s="24" t="n">
        <f aca="false">INDEX(日別!$T$5:$T$11,MATCH(B6,日別!$A$5:$A$11,0))+(O$4-1)*C6/1440</f>
        <v>0.885416666666667</v>
      </c>
    </row>
    <row r="7" customFormat="false" ht="15" hidden="false" customHeight="false" outlineLevel="0" collapsed="false">
      <c r="A7" s="28" t="s">
        <v>127</v>
      </c>
      <c r="B7" s="32" t="str">
        <f aca="false">INDEX(シーン見積!$C$4:$C$25,MATCH(A7,シーン見積!$A$4:$A$25,0))</f>
        <v>D2a</v>
      </c>
      <c r="C7" s="35" t="n">
        <f aca="false">INDEX(シーン見積!$AD$4:$AD$25,MATCH(A7,シーン見積!$A$4:$A$25,0))</f>
        <v>145</v>
      </c>
      <c r="D7" s="32" t="n">
        <f aca="false">INDEX(シーン見積!$G$4:$G$25,MATCH(A7,シーン見積!$A$4:$A$25,0))</f>
        <v>80</v>
      </c>
      <c r="E7" s="32" t="n">
        <f aca="false">INDEX(日別!$O$5:$O$11,MATCH(B7,日別!$A$5:$A$11,0))</f>
        <v>-70</v>
      </c>
      <c r="F7" s="27" t="n">
        <f aca="false">E7-(F$4-1)*C7</f>
        <v>-33.75</v>
      </c>
      <c r="G7" s="27" t="n">
        <f aca="false">E7-(G$4-1)*C7</f>
        <v>-70</v>
      </c>
      <c r="H7" s="27" t="n">
        <f aca="false">E7-(H$4-1)*C7</f>
        <v>-106.25</v>
      </c>
      <c r="I7" s="27" t="n">
        <f aca="false">E7-(I$4-1)*C7</f>
        <v>-142.5</v>
      </c>
      <c r="J7" s="27" t="n">
        <f aca="false">E7-(J$4-1)*C7</f>
        <v>-215</v>
      </c>
      <c r="K7" s="24" t="n">
        <f aca="false">INDEX(日別!$T$5:$T$11,MATCH(B7,日別!$A$5:$A$11,0))+(K$4-1)*C7/1440</f>
        <v>0.658854166666667</v>
      </c>
      <c r="L7" s="24" t="n">
        <f aca="false">INDEX(日別!$T$5:$T$11,MATCH(B7,日別!$A$5:$A$11,0))+(L$4-1)*C7/1440</f>
        <v>0.684027777777778</v>
      </c>
      <c r="M7" s="24" t="n">
        <f aca="false">INDEX(日別!$T$5:$T$11,MATCH(B7,日別!$A$5:$A$11,0))+(M$4-1)*C7/1440</f>
        <v>0.709201388888889</v>
      </c>
      <c r="N7" s="24" t="n">
        <f aca="false">INDEX(日別!$T$5:$T$11,MATCH(B7,日別!$A$5:$A$11,0))+(N$4-1)*C7/1440</f>
        <v>0.734375</v>
      </c>
      <c r="O7" s="24" t="n">
        <f aca="false">INDEX(日別!$T$5:$T$11,MATCH(B7,日別!$A$5:$A$11,0))+(O$4-1)*C7/1440</f>
        <v>0.784722222222222</v>
      </c>
    </row>
    <row r="8" customFormat="false" ht="15" hidden="false" customHeight="false" outlineLevel="0" collapsed="false">
      <c r="A8" s="28" t="s">
        <v>152</v>
      </c>
      <c r="B8" s="32" t="str">
        <f aca="false">INDEX(シーン見積!$C$4:$C$25,MATCH(A8,シーン見積!$A$4:$A$25,0))</f>
        <v>D2b</v>
      </c>
      <c r="C8" s="35" t="n">
        <f aca="false">INDEX(シーン見積!$AD$4:$AD$25,MATCH(A8,シーン見積!$A$4:$A$25,0))</f>
        <v>69</v>
      </c>
      <c r="D8" s="32" t="n">
        <f aca="false">INDEX(シーン見積!$G$4:$G$25,MATCH(A8,シーン見積!$A$4:$A$25,0))</f>
        <v>75</v>
      </c>
      <c r="E8" s="32" t="n">
        <f aca="false">INDEX(日別!$O$5:$O$11,MATCH(B8,日別!$A$5:$A$11,0))</f>
        <v>26</v>
      </c>
      <c r="F8" s="27" t="n">
        <f aca="false">E8-(F$4-1)*C8</f>
        <v>43.25</v>
      </c>
      <c r="G8" s="27" t="n">
        <f aca="false">E8-(G$4-1)*C8</f>
        <v>26</v>
      </c>
      <c r="H8" s="27" t="n">
        <f aca="false">E8-(H$4-1)*C8</f>
        <v>8.75</v>
      </c>
      <c r="I8" s="27" t="n">
        <f aca="false">E8-(I$4-1)*C8</f>
        <v>-8.5</v>
      </c>
      <c r="J8" s="27" t="n">
        <f aca="false">E8-(J$4-1)*C8</f>
        <v>-43</v>
      </c>
      <c r="K8" s="24" t="n">
        <f aca="false">INDEX(日別!$T$5:$T$11,MATCH(B8,日別!$A$5:$A$11,0))+(K$4-1)*C8/1440</f>
        <v>0.726909722222222</v>
      </c>
      <c r="L8" s="24" t="n">
        <f aca="false">INDEX(日別!$T$5:$T$11,MATCH(B8,日別!$A$5:$A$11,0))+(L$4-1)*C8/1440</f>
        <v>0.738888888888889</v>
      </c>
      <c r="M8" s="24" t="n">
        <f aca="false">INDEX(日別!$T$5:$T$11,MATCH(B8,日別!$A$5:$A$11,0))+(M$4-1)*C8/1440</f>
        <v>0.750868055555556</v>
      </c>
      <c r="N8" s="24" t="n">
        <f aca="false">INDEX(日別!$T$5:$T$11,MATCH(B8,日別!$A$5:$A$11,0))+(N$4-1)*C8/1440</f>
        <v>0.762847222222222</v>
      </c>
      <c r="O8" s="24" t="n">
        <f aca="false">INDEX(日別!$T$5:$T$11,MATCH(B8,日別!$A$5:$A$11,0))+(O$4-1)*C8/1440</f>
        <v>0.786805555555556</v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customFormat="false" ht="15" hidden="false" customHeight="false" outlineLevel="0" collapsed="false">
      <c r="A11" s="1" t="s">
        <v>350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customFormat="false" ht="15" hidden="false" customHeight="false" outlineLevel="0" collapsed="false">
      <c r="A12" s="12" t="s">
        <v>351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customFormat="false" ht="15" hidden="false" customHeight="false" outlineLevel="0" collapsed="false">
      <c r="A13" s="12" t="s">
        <v>352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false" ht="15" hidden="false" customHeight="false" outlineLevel="0" collapsed="false">
      <c r="A14" s="12" t="s">
        <v>353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customFormat="false" ht="15" hidden="false" customHeight="false" outlineLevel="0" collapsed="false">
      <c r="A15" s="12" t="s">
        <v>354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15" hidden="false" customHeight="false" outlineLevel="0" collapsed="false">
      <c r="A16" s="12" t="s">
        <v>355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</sheetData>
  <conditionalFormatting sqref="F5:J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4" t="s">
        <v>356</v>
      </c>
      <c r="B1" s="5"/>
      <c r="C1" s="5"/>
      <c r="D1" s="5"/>
      <c r="E1" s="5"/>
    </row>
    <row r="2" customFormat="false" ht="15" hidden="false" customHeight="false" outlineLevel="0" collapsed="false">
      <c r="A2" s="5"/>
      <c r="B2" s="5"/>
      <c r="C2" s="5"/>
      <c r="D2" s="5"/>
      <c r="E2" s="5"/>
    </row>
    <row r="3" customFormat="false" ht="15" hidden="false" customHeight="false" outlineLevel="0" collapsed="false">
      <c r="A3" s="13" t="s">
        <v>357</v>
      </c>
      <c r="B3" s="6" t="s">
        <v>21</v>
      </c>
      <c r="C3" s="6" t="s">
        <v>358</v>
      </c>
      <c r="D3" s="6" t="s">
        <v>359</v>
      </c>
      <c r="E3" s="6" t="s">
        <v>360</v>
      </c>
    </row>
    <row r="4" customFormat="false" ht="26.85" hidden="false" customHeight="false" outlineLevel="0" collapsed="false">
      <c r="A4" s="11" t="n">
        <v>1</v>
      </c>
      <c r="B4" s="36" t="s">
        <v>361</v>
      </c>
      <c r="C4" s="36" t="s">
        <v>362</v>
      </c>
      <c r="D4" s="7" t="s">
        <v>363</v>
      </c>
      <c r="E4" s="7" t="s">
        <v>364</v>
      </c>
    </row>
    <row r="5" customFormat="false" ht="15" hidden="false" customHeight="false" outlineLevel="0" collapsed="false">
      <c r="A5" s="11" t="n">
        <v>2</v>
      </c>
      <c r="B5" s="36" t="s">
        <v>365</v>
      </c>
      <c r="C5" s="36" t="s">
        <v>366</v>
      </c>
      <c r="D5" s="7" t="s">
        <v>367</v>
      </c>
      <c r="E5" s="11" t="s">
        <v>368</v>
      </c>
    </row>
    <row r="6" customFormat="false" ht="15" hidden="false" customHeight="false" outlineLevel="0" collapsed="false">
      <c r="A6" s="11" t="n">
        <v>3</v>
      </c>
      <c r="B6" s="37" t="s">
        <v>369</v>
      </c>
      <c r="C6" s="36" t="s">
        <v>370</v>
      </c>
      <c r="D6" s="7" t="s">
        <v>367</v>
      </c>
      <c r="E6" s="11" t="s">
        <v>368</v>
      </c>
    </row>
    <row r="7" customFormat="false" ht="15" hidden="false" customHeight="false" outlineLevel="0" collapsed="false">
      <c r="A7" s="11" t="n">
        <v>4</v>
      </c>
      <c r="B7" s="37" t="s">
        <v>371</v>
      </c>
      <c r="C7" s="36" t="s">
        <v>372</v>
      </c>
      <c r="D7" s="7" t="s">
        <v>373</v>
      </c>
      <c r="E7" s="11" t="s">
        <v>368</v>
      </c>
    </row>
    <row r="8" customFormat="false" ht="15" hidden="false" customHeight="false" outlineLevel="0" collapsed="false">
      <c r="A8" s="11" t="n">
        <v>5</v>
      </c>
      <c r="B8" s="37" t="s">
        <v>374</v>
      </c>
      <c r="C8" s="36" t="s">
        <v>375</v>
      </c>
      <c r="D8" s="7" t="s">
        <v>376</v>
      </c>
      <c r="E8" s="11" t="s">
        <v>377</v>
      </c>
    </row>
    <row r="9" customFormat="false" ht="15" hidden="false" customHeight="false" outlineLevel="0" collapsed="false">
      <c r="A9" s="11" t="n">
        <v>6</v>
      </c>
      <c r="B9" s="36" t="s">
        <v>378</v>
      </c>
      <c r="C9" s="37" t="s">
        <v>379</v>
      </c>
      <c r="D9" s="7" t="s">
        <v>380</v>
      </c>
      <c r="E9" s="11" t="s">
        <v>368</v>
      </c>
    </row>
    <row r="10" customFormat="false" ht="15" hidden="false" customHeight="false" outlineLevel="0" collapsed="false">
      <c r="A10" s="11" t="n">
        <v>7</v>
      </c>
      <c r="B10" s="36" t="s">
        <v>381</v>
      </c>
      <c r="C10" s="37" t="s">
        <v>382</v>
      </c>
      <c r="D10" s="7" t="s">
        <v>380</v>
      </c>
      <c r="E10" s="11" t="s">
        <v>368</v>
      </c>
    </row>
    <row r="11" customFormat="false" ht="15" hidden="false" customHeight="false" outlineLevel="0" collapsed="false">
      <c r="A11" s="11" t="n">
        <v>8</v>
      </c>
      <c r="B11" s="36" t="s">
        <v>383</v>
      </c>
      <c r="C11" s="36" t="s">
        <v>384</v>
      </c>
      <c r="D11" s="7" t="s">
        <v>380</v>
      </c>
      <c r="E11" s="11" t="s">
        <v>385</v>
      </c>
    </row>
    <row r="12" customFormat="false" ht="15" hidden="false" customHeight="false" outlineLevel="0" collapsed="false">
      <c r="A12" s="11" t="n">
        <v>9</v>
      </c>
      <c r="B12" s="36" t="s">
        <v>386</v>
      </c>
      <c r="C12" s="36" t="s">
        <v>387</v>
      </c>
      <c r="D12" s="7" t="s">
        <v>388</v>
      </c>
      <c r="E12" s="11" t="s">
        <v>368</v>
      </c>
    </row>
    <row r="13" customFormat="false" ht="26.85" hidden="false" customHeight="false" outlineLevel="0" collapsed="false">
      <c r="A13" s="11" t="n">
        <v>10</v>
      </c>
      <c r="B13" s="36" t="s">
        <v>389</v>
      </c>
      <c r="C13" s="37" t="s">
        <v>390</v>
      </c>
      <c r="D13" s="7" t="s">
        <v>388</v>
      </c>
      <c r="E13" s="11" t="s">
        <v>377</v>
      </c>
    </row>
    <row r="14" customFormat="false" ht="26.85" hidden="false" customHeight="false" outlineLevel="0" collapsed="false">
      <c r="A14" s="11" t="n">
        <v>11</v>
      </c>
      <c r="B14" s="36" t="s">
        <v>391</v>
      </c>
      <c r="C14" s="37" t="s">
        <v>392</v>
      </c>
      <c r="D14" s="7" t="s">
        <v>393</v>
      </c>
      <c r="E14" s="11" t="s">
        <v>368</v>
      </c>
    </row>
    <row r="15" customFormat="false" ht="15" hidden="false" customHeight="false" outlineLevel="0" collapsed="false">
      <c r="A15" s="11" t="n">
        <v>12</v>
      </c>
      <c r="B15" s="37" t="s">
        <v>394</v>
      </c>
      <c r="C15" s="37" t="s">
        <v>395</v>
      </c>
      <c r="D15" s="7" t="s">
        <v>367</v>
      </c>
      <c r="E15" s="11" t="s">
        <v>368</v>
      </c>
    </row>
    <row r="16" customFormat="false" ht="15" hidden="false" customHeight="false" outlineLevel="0" collapsed="false">
      <c r="A16" s="11" t="n">
        <v>13</v>
      </c>
      <c r="B16" s="37" t="s">
        <v>396</v>
      </c>
      <c r="C16" s="36" t="s">
        <v>397</v>
      </c>
      <c r="D16" s="7" t="s">
        <v>398</v>
      </c>
      <c r="E16" s="11" t="s">
        <v>377</v>
      </c>
    </row>
    <row r="17" customFormat="false" ht="15" hidden="false" customHeight="false" outlineLevel="0" collapsed="false">
      <c r="A17" s="11" t="n">
        <v>14</v>
      </c>
      <c r="B17" s="36" t="s">
        <v>399</v>
      </c>
      <c r="C17" s="36" t="s">
        <v>400</v>
      </c>
      <c r="D17" s="7" t="s">
        <v>398</v>
      </c>
      <c r="E17" s="11" t="s">
        <v>377</v>
      </c>
    </row>
    <row r="18" customFormat="false" ht="15" hidden="false" customHeight="false" outlineLevel="0" collapsed="false">
      <c r="A18" s="11" t="n">
        <v>15</v>
      </c>
      <c r="B18" s="36" t="s">
        <v>401</v>
      </c>
      <c r="C18" s="37" t="s">
        <v>402</v>
      </c>
      <c r="D18" s="7" t="s">
        <v>388</v>
      </c>
      <c r="E18" s="11" t="s">
        <v>385</v>
      </c>
    </row>
    <row r="19" customFormat="false" ht="15" hidden="false" customHeight="false" outlineLevel="0" collapsed="false">
      <c r="A19" s="11" t="n">
        <v>16</v>
      </c>
      <c r="B19" s="36" t="s">
        <v>403</v>
      </c>
      <c r="C19" s="37" t="s">
        <v>404</v>
      </c>
      <c r="D19" s="7" t="s">
        <v>380</v>
      </c>
      <c r="E19" s="11" t="s">
        <v>368</v>
      </c>
    </row>
    <row r="20" customFormat="false" ht="26.85" hidden="false" customHeight="false" outlineLevel="0" collapsed="false">
      <c r="A20" s="11" t="n">
        <v>17</v>
      </c>
      <c r="B20" s="37" t="s">
        <v>405</v>
      </c>
      <c r="C20" s="36" t="s">
        <v>406</v>
      </c>
      <c r="D20" s="7" t="s">
        <v>367</v>
      </c>
      <c r="E20" s="11" t="s">
        <v>377</v>
      </c>
    </row>
    <row r="21" customFormat="false" ht="15" hidden="false" customHeight="false" outlineLevel="0" collapsed="false">
      <c r="A21" s="11" t="n">
        <v>18</v>
      </c>
      <c r="B21" s="36" t="s">
        <v>407</v>
      </c>
      <c r="C21" s="36" t="s">
        <v>408</v>
      </c>
      <c r="D21" s="7" t="s">
        <v>388</v>
      </c>
      <c r="E21" s="11" t="s">
        <v>385</v>
      </c>
    </row>
    <row r="22" customFormat="false" ht="26.85" hidden="false" customHeight="false" outlineLevel="0" collapsed="false">
      <c r="A22" s="11" t="n">
        <v>19</v>
      </c>
      <c r="B22" s="36" t="s">
        <v>409</v>
      </c>
      <c r="C22" s="37" t="s">
        <v>410</v>
      </c>
      <c r="D22" s="7" t="s">
        <v>380</v>
      </c>
      <c r="E22" s="7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2026-10-18T03:25:01Z</dcterms:created>
  <dc:creator>openpyxl</dc:creator>
  <dc:description/>
  <dc:language>en-US</dc:language>
  <cp:lastModifiedBy/>
  <dcterms:modified xsi:type="dcterms:W3CDTF">2026-10-18T03:25:01Z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