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説明" sheetId="1" state="visible" r:id="rId3"/>
    <sheet name="係数" sheetId="2" state="visible" r:id="rId4"/>
    <sheet name="構図優先度" sheetId="3" state="visible" r:id="rId5"/>
    <sheet name="シーン見積" sheetId="4" state="visible" r:id="rId6"/>
    <sheet name="改訂スケジュール" sheetId="5" state="visible" r:id="rId7"/>
    <sheet name="移動" sheetId="6" state="visible" r:id="rId8"/>
    <sheet name="日没" sheetId="7" state="visible" r:id="rId9"/>
    <sheet name="日別" sheetId="8" state="visible" r:id="rId10"/>
    <sheet name="子ども拘束" sheetId="9" state="visible" r:id="rId11"/>
    <sheet name="感度分析" sheetId="10" state="visible" r:id="rId12"/>
    <sheet name="※見直し" sheetId="11" state="visible" r:id="rId13"/>
    <sheet name="要確認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<sst xmlns="http://schemas.openxmlformats.org/spreadsheetml/2006/main" count="1213" uniqueCount="711">
  <si>
    <r>
      <rPr>
        <b val="true"/>
        <sz val="10"/>
        <rFont val="WenQuanYi Zen Hei"/>
        <family val="2"/>
      </rPr>
      <t xml:space="preserve">篠原組『あの日僕は、名前のない違和感を感じた』撮影スケジュール検証モデル </t>
    </r>
    <r>
      <rPr>
        <b val="true"/>
        <sz val="10"/>
        <rFont val="Arial"/>
        <family val="0"/>
        <charset val="1"/>
      </rPr>
      <t xml:space="preserve">v2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2026-10-18</t>
    </r>
    <r>
      <rPr>
        <b val="true"/>
        <sz val="10"/>
        <rFont val="WenQuanYi Zen Hei"/>
        <family val="2"/>
      </rPr>
      <t xml:space="preserve">、引き継ぎ資料</t>
    </r>
    <r>
      <rPr>
        <b val="true"/>
        <sz val="10"/>
        <rFont val="Arial"/>
        <family val="0"/>
        <charset val="1"/>
      </rPr>
      <t xml:space="preserve">v2</t>
    </r>
    <r>
      <rPr>
        <b val="true"/>
        <sz val="10"/>
        <rFont val="WenQuanYi Zen Hei"/>
        <family val="2"/>
      </rPr>
      <t xml:space="preserve">を反映）</t>
    </r>
  </si>
  <si>
    <t xml:space="preserve">■ セルの色</t>
  </si>
  <si>
    <r>
      <rPr>
        <sz val="10"/>
        <rFont val="WenQuanYi Zen Hei"/>
        <family val="2"/>
      </rPr>
      <t xml:space="preserve">・青字＝入力値（変えて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）／黒字＝計算式／緑字＝別シートからの参照</t>
    </r>
  </si>
  <si>
    <r>
      <rPr>
        <sz val="10"/>
        <rFont val="WenQuanYi Zen Hei"/>
        <family val="2"/>
      </rPr>
      <t xml:space="preserve">・黄色の塗り＝仮の値（このモデルで置いた値。</t>
    </r>
    <r>
      <rPr>
        <sz val="10"/>
        <rFont val="Arial"/>
        <family val="0"/>
        <charset val="1"/>
      </rPr>
      <t xml:space="preserve">DAY1</t>
    </r>
    <r>
      <rPr>
        <sz val="10"/>
        <rFont val="WenQuanYi Zen Hei"/>
        <family val="2"/>
      </rPr>
      <t xml:space="preserve">の実績やロケハンで上書きしたい）</t>
    </r>
  </si>
  <si>
    <r>
      <rPr>
        <sz val="10"/>
        <rFont val="WenQuanYi Zen Hei"/>
        <family val="2"/>
      </rPr>
      <t xml:space="preserve">・緑の塗り＝資料にある値（引き継ぎ資料</t>
    </r>
    <r>
      <rPr>
        <sz val="10"/>
        <rFont val="Arial"/>
        <family val="0"/>
        <charset val="1"/>
      </rPr>
      <t xml:space="preserve">v2</t>
    </r>
    <r>
      <rPr>
        <sz val="10"/>
        <rFont val="WenQuanYi Zen Hei"/>
        <family val="2"/>
      </rPr>
      <t xml:space="preserve">・現行スケジュール・脚本から取った値）</t>
    </r>
  </si>
  <si>
    <t xml:space="preserve">■ シートの役割</t>
  </si>
  <si>
    <t xml:space="preserve">・係数：見積もりの係数。『区分』列で「仮の値」と「資料にある値」を分けています</t>
  </si>
  <si>
    <r>
      <rPr>
        <sz val="10"/>
        <rFont val="WenQuanYi Zen Hei"/>
        <family val="2"/>
      </rPr>
      <t xml:space="preserve">・構図優先度：</t>
    </r>
    <r>
      <rPr>
        <sz val="10"/>
        <rFont val="Arial"/>
        <family val="0"/>
        <charset val="1"/>
      </rPr>
      <t xml:space="preserve">S2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S5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の構図ごとの優先度（必須／できれば／カット可）。上の『撮る範囲』を変えると、シーン見積と改訂スケジュールが再計算されます</t>
    </r>
  </si>
  <si>
    <t xml:space="preserve">・シーン見積：シーンごとの最短・標準・余裕と、現行の枠との比較</t>
  </si>
  <si>
    <r>
      <rPr>
        <sz val="10"/>
        <rFont val="WenQuanYi Zen Hei"/>
        <family val="2"/>
      </rPr>
      <t xml:space="preserve">・改訂スケジュール：決定事項（資料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）を守ったまま組み直した案。時刻はすべて計算式（標準と余裕の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通り）</t>
    </r>
  </si>
  <si>
    <t xml:space="preserve">・日別：現行スケジュールのまま撮った場合の、ブロックごとの過不足</t>
  </si>
  <si>
    <r>
      <rPr>
        <sz val="10"/>
        <rFont val="WenQuanYi Zen Hei"/>
        <family val="2"/>
      </rPr>
      <t xml:space="preserve">・日没：資料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の値（出雲基準）と、夕方シーンの照合</t>
    </r>
  </si>
  <si>
    <t xml:space="preserve">・子ども拘束／感度分析／※見直し／要確認</t>
  </si>
  <si>
    <r>
      <rPr>
        <b val="true"/>
        <sz val="10"/>
        <rFont val="WenQuanYi Zen Hei"/>
        <family val="2"/>
      </rPr>
      <t xml:space="preserve">■ 見積もりの式（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シーンあたり）</t>
    </r>
  </si>
  <si>
    <r>
      <rPr>
        <sz val="10"/>
        <rFont val="WenQuanYi Zen Hei"/>
        <family val="2"/>
      </rPr>
      <t xml:space="preserve">所要時間 ＝ 準備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1−</t>
    </r>
    <r>
      <rPr>
        <sz val="10"/>
        <rFont val="WenQuanYi Zen Hei"/>
        <family val="2"/>
      </rPr>
      <t xml:space="preserve">先行準備）＋ 撮影 ＋ 切り替え</t>
    </r>
  </si>
  <si>
    <r>
      <rPr>
        <sz val="10"/>
        <rFont val="WenQuanYi Zen Hei"/>
        <family val="2"/>
      </rPr>
      <t xml:space="preserve">  撮影   ＝ 構図数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（リハ・段取り ＋ テイク数 </t>
    </r>
    <r>
      <rPr>
        <sz val="10"/>
        <rFont val="Arial"/>
        <family val="0"/>
        <charset val="1"/>
      </rPr>
      <t xml:space="preserve">× 1</t>
    </r>
    <r>
      <rPr>
        <sz val="10"/>
        <rFont val="WenQuanYi Zen Hei"/>
        <family val="2"/>
      </rPr>
      <t xml:space="preserve">テイクの長さ）＋ 長回し構図数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長回し追加係数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テイク数 </t>
    </r>
    <r>
      <rPr>
        <sz val="10"/>
        <rFont val="Arial"/>
        <family val="0"/>
        <charset val="1"/>
      </rPr>
      <t xml:space="preserve">× 1</t>
    </r>
    <r>
      <rPr>
        <sz val="10"/>
        <rFont val="WenQuanYi Zen Hei"/>
        <family val="2"/>
      </rPr>
      <t xml:space="preserve">テイクの長さ</t>
    </r>
  </si>
  <si>
    <r>
      <rPr>
        <sz val="10"/>
        <rFont val="WenQuanYi Zen Hei"/>
        <family val="2"/>
      </rPr>
      <t xml:space="preserve">  テイク数 ＝ 基本テイク数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子役係数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動物係数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エキストラ係数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アクション成功係数</t>
    </r>
  </si>
  <si>
    <r>
      <rPr>
        <sz val="10"/>
        <rFont val="Arial"/>
        <family val="0"/>
        <charset val="1"/>
      </rPr>
      <t xml:space="preserve">  1</t>
    </r>
    <r>
      <rPr>
        <sz val="10"/>
        <rFont val="WenQuanYi Zen Hei"/>
        <family val="2"/>
      </rPr>
      <t xml:space="preserve">テイクの長さ ＝ 平均尺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秒</t>
    </r>
    <r>
      <rPr>
        <sz val="10"/>
        <rFont val="Arial"/>
        <family val="0"/>
        <charset val="1"/>
      </rPr>
      <t xml:space="preserve">)/60 </t>
    </r>
    <r>
      <rPr>
        <sz val="10"/>
        <rFont val="WenQuanYi Zen Hei"/>
        <family val="2"/>
      </rPr>
      <t xml:space="preserve">＋ リセット ＋（大リセットありなら 大リセット追加）</t>
    </r>
  </si>
  <si>
    <r>
      <rPr>
        <sz val="10"/>
        <rFont val="WenQuanYi Zen Hei"/>
        <family val="2"/>
      </rPr>
      <t xml:space="preserve">  切り替え ＝（構図数−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構図切替 ＋ 未確定構図数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現場検証時間</t>
    </r>
  </si>
  <si>
    <r>
      <rPr>
        <sz val="10"/>
        <rFont val="WenQuanYi Zen Hei"/>
        <family val="2"/>
      </rPr>
      <t xml:space="preserve">  先行準備＝集合から撮影開始までの間に、最初のシーンの設営を済ませられる場合は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DAY1</t>
    </r>
    <r>
      <rPr>
        <sz val="10"/>
        <rFont val="WenQuanYi Zen Hei"/>
        <family val="2"/>
      </rPr>
      <t xml:space="preserve">の</t>
    </r>
    <r>
      <rPr>
        <sz val="10"/>
        <rFont val="Arial"/>
        <family val="0"/>
        <charset val="1"/>
      </rPr>
      <t xml:space="preserve">S3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DAY2</t>
    </r>
    <r>
      <rPr>
        <sz val="10"/>
        <rFont val="WenQuanYi Zen Hei"/>
        <family val="2"/>
      </rPr>
      <t xml:space="preserve">の</t>
    </r>
    <r>
      <rPr>
        <sz val="10"/>
        <rFont val="Arial"/>
        <family val="0"/>
        <charset val="1"/>
      </rPr>
      <t xml:space="preserve">S5</t>
    </r>
    <r>
      <rPr>
        <sz val="10"/>
        <rFont val="WenQuanYi Zen Hei"/>
        <family val="2"/>
      </rPr>
      <t xml:space="preserve">）</t>
    </r>
  </si>
  <si>
    <t xml:space="preserve">■ 判定のルール</t>
  </si>
  <si>
    <t xml:space="preserve">  余裕あり：枠 ≧ 余裕値 ／ 適正：枠 ≧ 標準値 ／ ギリギリ：枠 ≧ 最短値 ／ 不足：枠 ＜ 最短値</t>
  </si>
  <si>
    <t xml:space="preserve">■ 前提</t>
  </si>
  <si>
    <r>
      <rPr>
        <sz val="10"/>
        <rFont val="WenQuanYi Zen Hei"/>
        <family val="2"/>
      </rPr>
      <t xml:space="preserve">・構図マーカーは本文の後ろに付く（資料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）。同じ記号の繰り返しは、同じ構図の続きとして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つと数えています。</t>
    </r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</si>
  <si>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S7</t>
    </r>
    <r>
      <rPr>
        <sz val="10"/>
        <rFont val="WenQuanYi Zen Hei"/>
        <family val="2"/>
      </rPr>
      <t xml:space="preserve">はカット（資料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S19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S22</t>
    </r>
    <r>
      <rPr>
        <sz val="10"/>
        <rFont val="WenQuanYi Zen Hei"/>
        <family val="2"/>
      </rPr>
      <t xml:space="preserve">と</t>
    </r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の末尾は構図指定がないため、構図数は仮の値です。</t>
    </r>
  </si>
  <si>
    <r>
      <rPr>
        <sz val="10"/>
        <rFont val="WenQuanYi Zen Hei"/>
        <family val="2"/>
      </rPr>
      <t xml:space="preserve">・撮影・演出の体制（カメラ担当の有無）は未整理（資料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）。構図切替の係数は、この体制で大きく変わります。</t>
    </r>
  </si>
  <si>
    <t xml:space="preserve">係数</t>
  </si>
  <si>
    <r>
      <rPr>
        <sz val="10"/>
        <color rgb="FF555555"/>
        <rFont val="WenQuanYi Zen Hei"/>
        <family val="2"/>
      </rPr>
      <t xml:space="preserve">区分：仮の値＝このモデルで置いた値（黄色）／資料にある値＝引き継ぎ資料</t>
    </r>
    <r>
      <rPr>
        <sz val="10"/>
        <color rgb="FF555555"/>
        <rFont val="Arial"/>
        <family val="0"/>
        <charset val="1"/>
      </rPr>
      <t xml:space="preserve">v2</t>
    </r>
    <r>
      <rPr>
        <sz val="10"/>
        <color rgb="FF555555"/>
        <rFont val="WenQuanYi Zen Hei"/>
        <family val="2"/>
      </rPr>
      <t xml:space="preserve">などから取った値（緑）</t>
    </r>
  </si>
  <si>
    <t xml:space="preserve">項目（シナリオ別）</t>
  </si>
  <si>
    <t xml:space="preserve">最短</t>
  </si>
  <si>
    <t xml:space="preserve">標準</t>
  </si>
  <si>
    <t xml:space="preserve">余裕</t>
  </si>
  <si>
    <t xml:space="preserve">区分</t>
  </si>
  <si>
    <t xml:space="preserve">根拠・メモ</t>
  </si>
  <si>
    <r>
      <rPr>
        <sz val="10"/>
        <rFont val="WenQuanYi Zen Hei"/>
        <family val="2"/>
      </rPr>
      <t xml:space="preserve">基本テイク数（回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構図）</t>
    </r>
  </si>
  <si>
    <t xml:space="preserve">仮の値</t>
  </si>
  <si>
    <t xml:space="preserve">自主制作・子役中心の一般的な目安</t>
  </si>
  <si>
    <r>
      <rPr>
        <sz val="10"/>
        <rFont val="WenQuanYi Zen Hei"/>
        <family val="2"/>
      </rPr>
      <t xml:space="preserve">リハ・段取り（分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構図）</t>
    </r>
  </si>
  <si>
    <t xml:space="preserve">立ち位置確認・カメラリハ</t>
  </si>
  <si>
    <r>
      <rPr>
        <sz val="10"/>
        <rFont val="WenQuanYi Zen Hei"/>
        <family val="2"/>
      </rPr>
      <t xml:space="preserve">リセット（分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テイク）</t>
    </r>
  </si>
  <si>
    <t xml:space="preserve">位置戻し・スレート（ピンマイク内部録音なのでスレートは毎回必要）</t>
  </si>
  <si>
    <r>
      <rPr>
        <sz val="10"/>
        <rFont val="WenQuanYi Zen Hei"/>
        <family val="2"/>
      </rPr>
      <t xml:space="preserve">大リセット追加（分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テイク）</t>
    </r>
  </si>
  <si>
    <r>
      <rPr>
        <sz val="10"/>
        <rFont val="WenQuanYi Zen Hei"/>
        <family val="2"/>
      </rPr>
      <t xml:space="preserve">エキストラ全員を戻す（</t>
    </r>
    <r>
      <rPr>
        <sz val="10"/>
        <rFont val="Arial"/>
        <family val="0"/>
        <charset val="1"/>
      </rPr>
      <t xml:space="preserve">S4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S9</t>
    </r>
    <r>
      <rPr>
        <sz val="10"/>
        <rFont val="WenQuanYi Zen Hei"/>
        <family val="2"/>
      </rPr>
      <t xml:space="preserve">）／砂浜の足跡を消す（</t>
    </r>
    <r>
      <rPr>
        <sz val="10"/>
        <rFont val="Arial"/>
        <family val="0"/>
        <charset val="1"/>
      </rPr>
      <t xml:space="preserve">S22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</si>
  <si>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構図切替（分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回）</t>
    </r>
  </si>
  <si>
    <r>
      <rPr>
        <sz val="10"/>
        <rFont val="WenQuanYi Zen Hei"/>
        <family val="2"/>
      </rPr>
      <t xml:space="preserve">撮影体制が未整理（資料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）。監督が撮影を兼ねるなら標準→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に上げる</t>
    </r>
  </si>
  <si>
    <r>
      <rPr>
        <sz val="10"/>
        <rFont val="WenQuanYi Zen Hei"/>
        <family val="2"/>
      </rPr>
      <t xml:space="preserve">未確定構図の現場検証（分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構図）</t>
    </r>
  </si>
  <si>
    <t xml:space="preserve">ピンク・赤マーカー＝現場で検証</t>
  </si>
  <si>
    <t xml:space="preserve">屋内新規</t>
  </si>
  <si>
    <t xml:space="preserve">準備：屋内・新しい場所（照明設営）</t>
  </si>
  <si>
    <t xml:space="preserve">屋外新規</t>
  </si>
  <si>
    <t xml:space="preserve">準備：屋外・新しい場所</t>
  </si>
  <si>
    <t xml:space="preserve">同一継続</t>
  </si>
  <si>
    <t xml:space="preserve">準備：同じ場所の続き</t>
  </si>
  <si>
    <t xml:space="preserve">長回し追加係数</t>
  </si>
  <si>
    <r>
      <rPr>
        <sz val="10"/>
        <rFont val="WenQuanYi Zen Hei"/>
        <family val="2"/>
      </rPr>
      <t xml:space="preserve">長回し・ワンカット・「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秒」の構図はテイク時間を</t>
    </r>
    <r>
      <rPr>
        <sz val="10"/>
        <rFont val="Arial"/>
        <family val="0"/>
        <charset val="1"/>
      </rPr>
      <t xml:space="preserve">×(1+</t>
    </r>
    <r>
      <rPr>
        <sz val="10"/>
        <rFont val="WenQuanYi Zen Hei"/>
        <family val="2"/>
      </rPr>
      <t xml:space="preserve">係数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</si>
  <si>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ピンマイク再確認（分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人）</t>
    </r>
  </si>
  <si>
    <r>
      <rPr>
        <sz val="10"/>
        <rFont val="WenQuanYi Zen Hei"/>
        <family val="2"/>
      </rPr>
      <t xml:space="preserve">子どもは一日つけたまま（資料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）。昼食後に音・テープの確認だけ</t>
    </r>
  </si>
  <si>
    <t xml:space="preserve">項目（共通）</t>
  </si>
  <si>
    <t xml:space="preserve">値</t>
  </si>
  <si>
    <r>
      <rPr>
        <sz val="10"/>
        <rFont val="WenQuanYi Zen Hei"/>
        <family val="2"/>
      </rPr>
      <t xml:space="preserve">ピンマイク装着・子ども（分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人）</t>
    </r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</si>
  <si>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「装着に時間がかかる可能性」。数値はないので仮置き</t>
    </r>
  </si>
  <si>
    <r>
      <rPr>
        <sz val="10"/>
        <rFont val="WenQuanYi Zen Hei"/>
        <family val="2"/>
      </rPr>
      <t xml:space="preserve">ピンマイク装着・大人（分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人）</t>
    </r>
  </si>
  <si>
    <t xml:space="preserve">同上</t>
  </si>
  <si>
    <t xml:space="preserve">録音部の人数</t>
  </si>
  <si>
    <t xml:space="preserve">資料にある値</t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</si>
  <si>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10/17</t>
    </r>
    <r>
      <rPr>
        <sz val="10"/>
        <rFont val="WenQuanYi Zen Hei"/>
        <family val="2"/>
      </rPr>
      <t xml:space="preserve">の打ち合わせ）。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人で並行して装着する</t>
    </r>
  </si>
  <si>
    <t xml:space="preserve">昼食（分）</t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</si>
  <si>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・資料</t>
    </r>
    <r>
      <rPr>
        <sz val="10"/>
        <rFont val="Arial"/>
        <family val="0"/>
        <charset val="1"/>
      </rPr>
      <t xml:space="preserve">7</t>
    </r>
  </si>
  <si>
    <t xml:space="preserve">解散準備（マイク外し・着替え・分）</t>
  </si>
  <si>
    <r>
      <rPr>
        <sz val="10"/>
        <rFont val="Arial"/>
        <family val="0"/>
        <charset val="1"/>
      </rPr>
      <t xml:space="preserve">17:00</t>
    </r>
    <r>
      <rPr>
        <sz val="10"/>
        <rFont val="WenQuanYi Zen Hei"/>
        <family val="2"/>
      </rPr>
      <t xml:space="preserve">解散なら、最後の本番は</t>
    </r>
    <r>
      <rPr>
        <sz val="10"/>
        <rFont val="Arial"/>
        <family val="0"/>
        <charset val="1"/>
      </rPr>
      <t xml:space="preserve">16:45</t>
    </r>
    <r>
      <rPr>
        <sz val="10"/>
        <rFont val="WenQuanYi Zen Hei"/>
        <family val="2"/>
      </rPr>
      <t xml:space="preserve">まで</t>
    </r>
  </si>
  <si>
    <r>
      <rPr>
        <sz val="10"/>
        <rFont val="WenQuanYi Zen Hei"/>
        <family val="2"/>
      </rPr>
      <t xml:space="preserve">ざわめき別撮り（分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回）</t>
    </r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</si>
  <si>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「ざわめきは、エキストラがいる日に録る」</t>
    </r>
  </si>
  <si>
    <r>
      <rPr>
        <sz val="10"/>
        <rFont val="WenQuanYi Zen Hei"/>
        <family val="2"/>
      </rPr>
      <t xml:space="preserve">ルームトーン（分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か所）</t>
    </r>
  </si>
  <si>
    <t xml:space="preserve">各場所の無音の環境音</t>
  </si>
  <si>
    <r>
      <rPr>
        <sz val="10"/>
        <rFont val="WenQuanYi Zen Hei"/>
        <family val="2"/>
      </rPr>
      <t xml:space="preserve">エキストラ①の人数（</t>
    </r>
    <r>
      <rPr>
        <sz val="10"/>
        <rFont val="Arial"/>
        <family val="0"/>
        <charset val="1"/>
      </rPr>
      <t xml:space="preserve">11/1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</si>
  <si>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人前後」</t>
    </r>
  </si>
  <si>
    <r>
      <rPr>
        <sz val="10"/>
        <rFont val="WenQuanYi Zen Hei"/>
        <family val="2"/>
      </rPr>
      <t xml:space="preserve">エキストラ②の人数（</t>
    </r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</si>
  <si>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人前後」</t>
    </r>
  </si>
  <si>
    <r>
      <rPr>
        <sz val="10"/>
        <rFont val="WenQuanYi Zen Hei"/>
        <family val="2"/>
      </rPr>
      <t xml:space="preserve">児童の実働の目安（分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日）</t>
    </r>
  </si>
  <si>
    <r>
      <rPr>
        <sz val="10"/>
        <rFont val="WenQuanYi Zen Hei"/>
        <family val="2"/>
      </rPr>
      <t xml:space="preserve">労働基準法の年少者規定（児童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時間）を目安に使用。無報酬出演への適用は要確認</t>
    </r>
  </si>
  <si>
    <t xml:space="preserve">動物係数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</si>
  <si>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パンチ（犬）</t>
    </r>
  </si>
  <si>
    <t xml:space="preserve">アクション成功係数</t>
  </si>
  <si>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のシュート（決まるまで撮る場合）</t>
    </r>
  </si>
  <si>
    <t xml:space="preserve">子役人数（芝居をする子）</t>
  </si>
  <si>
    <t xml:space="preserve">メモ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</si>
  <si>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人以上は</t>
    </r>
    <r>
      <rPr>
        <sz val="10"/>
        <rFont val="Arial"/>
        <family val="0"/>
        <charset val="1"/>
      </rPr>
      <t xml:space="preserve">1.3</t>
    </r>
  </si>
  <si>
    <t xml:space="preserve">エキストラ人数（下限）</t>
  </si>
  <si>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人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</si>
  <si>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人</t>
    </r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</si>
  <si>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人</t>
    </r>
  </si>
  <si>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人以上</t>
    </r>
  </si>
  <si>
    <r>
      <rPr>
        <b val="true"/>
        <sz val="12"/>
        <rFont val="WenQuanYi Zen Hei"/>
        <family val="2"/>
      </rPr>
      <t xml:space="preserve">構図ごとの優先度（</t>
    </r>
    <r>
      <rPr>
        <b val="true"/>
        <sz val="12"/>
        <rFont val="Arial"/>
        <family val="0"/>
        <charset val="1"/>
      </rPr>
      <t xml:space="preserve">S2</t>
    </r>
    <r>
      <rPr>
        <b val="true"/>
        <sz val="12"/>
        <rFont val="WenQuanYi Zen Hei"/>
        <family val="2"/>
      </rPr>
      <t xml:space="preserve">・</t>
    </r>
    <r>
      <rPr>
        <b val="true"/>
        <sz val="12"/>
        <rFont val="Arial"/>
        <family val="0"/>
        <charset val="1"/>
      </rPr>
      <t xml:space="preserve">S5</t>
    </r>
    <r>
      <rPr>
        <b val="true"/>
        <sz val="12"/>
        <rFont val="WenQuanYi Zen Hei"/>
        <family val="2"/>
      </rPr>
      <t xml:space="preserve">・</t>
    </r>
    <r>
      <rPr>
        <b val="true"/>
        <sz val="12"/>
        <rFont val="Arial"/>
        <family val="0"/>
        <charset val="1"/>
      </rPr>
      <t xml:space="preserve">S15</t>
    </r>
    <r>
      <rPr>
        <b val="true"/>
        <sz val="12"/>
        <rFont val="WenQuanYi Zen Hei"/>
        <family val="2"/>
      </rPr>
      <t xml:space="preserve">・</t>
    </r>
    <r>
      <rPr>
        <b val="true"/>
        <sz val="12"/>
        <rFont val="Arial"/>
        <family val="0"/>
        <charset val="1"/>
      </rPr>
      <t xml:space="preserve">S18</t>
    </r>
    <r>
      <rPr>
        <b val="true"/>
        <sz val="12"/>
        <rFont val="WenQuanYi Zen Hei"/>
        <family val="2"/>
      </rPr>
      <t xml:space="preserve">）</t>
    </r>
  </si>
  <si>
    <r>
      <rPr>
        <sz val="10"/>
        <color rgb="FF555555"/>
        <rFont val="WenQuanYi Zen Hei"/>
        <family val="2"/>
      </rPr>
      <t xml:space="preserve">撮る範囲：</t>
    </r>
    <r>
      <rPr>
        <sz val="10"/>
        <color rgb="FF555555"/>
        <rFont val="Arial"/>
        <family val="0"/>
        <charset val="1"/>
      </rPr>
      <t xml:space="preserve">1</t>
    </r>
    <r>
      <rPr>
        <sz val="10"/>
        <color rgb="FF555555"/>
        <rFont val="WenQuanYi Zen Hei"/>
        <family val="2"/>
      </rPr>
      <t xml:space="preserve">＝必須だけ／</t>
    </r>
    <r>
      <rPr>
        <sz val="10"/>
        <color rgb="FF555555"/>
        <rFont val="Arial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＝必須＋できれば／</t>
    </r>
    <r>
      <rPr>
        <sz val="10"/>
        <color rgb="FF555555"/>
        <rFont val="Arial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＝全部。変えるとシーン見積の『選択範囲』と改訂スケジュールが再計算されます。</t>
    </r>
  </si>
  <si>
    <t xml:space="preserve">S</t>
  </si>
  <si>
    <r>
      <rPr>
        <b val="true"/>
        <sz val="10"/>
        <rFont val="WenQuanYi Zen Hei"/>
        <family val="2"/>
      </rPr>
      <t xml:space="preserve">撮る範囲（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</si>
  <si>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必須の構図数</t>
  </si>
  <si>
    <t xml:space="preserve">できれば</t>
  </si>
  <si>
    <t xml:space="preserve">カット可</t>
  </si>
  <si>
    <r>
      <rPr>
        <b val="true"/>
        <sz val="10"/>
        <rFont val="WenQuanYi Zen Hei"/>
        <family val="2"/>
      </rPr>
      <t xml:space="preserve">全部撮る標準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</si>
  <si>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選んだ範囲の標準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</si>
  <si>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差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</si>
  <si>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2</t>
  </si>
  <si>
    <t xml:space="preserve">5</t>
  </si>
  <si>
    <t xml:space="preserve">15</t>
  </si>
  <si>
    <t xml:space="preserve">18</t>
  </si>
  <si>
    <t xml:space="preserve">構図</t>
  </si>
  <si>
    <t xml:space="preserve">内容（脚本より）</t>
  </si>
  <si>
    <t xml:space="preserve">優先度</t>
  </si>
  <si>
    <t xml:space="preserve">優先度番号</t>
  </si>
  <si>
    <r>
      <rPr>
        <b val="true"/>
        <sz val="10"/>
        <rFont val="WenQuanYi Zen Hei"/>
        <family val="2"/>
      </rPr>
      <t xml:space="preserve">尺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)</t>
    </r>
  </si>
  <si>
    <t xml:space="preserve">長回し</t>
  </si>
  <si>
    <t xml:space="preserve">未確定</t>
  </si>
  <si>
    <t xml:space="preserve">事前撮り</t>
  </si>
  <si>
    <t xml:space="preserve">採用</t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</si>
  <si>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構図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</si>
  <si>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構図</t>
    </r>
    <r>
      <rPr>
        <b val="true"/>
        <sz val="10"/>
        <rFont val="Arial"/>
        <family val="0"/>
        <charset val="1"/>
      </rPr>
      <t xml:space="preserve">)</t>
    </r>
  </si>
  <si>
    <t xml:space="preserve">理由</t>
  </si>
  <si>
    <t xml:space="preserve">A</t>
  </si>
  <si>
    <r>
      <rPr>
        <sz val="10"/>
        <rFont val="WenQuanYi Zen Hei"/>
        <family val="2"/>
      </rPr>
      <t xml:space="preserve">リョウの斜め後ろ</t>
    </r>
    <r>
      <rPr>
        <sz val="10"/>
        <rFont val="Arial"/>
        <family val="0"/>
        <charset val="1"/>
      </rPr>
      <t xml:space="preserve">18mm</t>
    </r>
    <r>
      <rPr>
        <sz val="10"/>
        <rFont val="WenQuanYi Zen Hei"/>
        <family val="2"/>
      </rPr>
      <t xml:space="preserve">、立ち止まって振り返る</t>
    </r>
  </si>
  <si>
    <t xml:space="preserve">必須</t>
  </si>
  <si>
    <t xml:space="preserve">場面の入り。リョウの顔が初めて見える</t>
  </si>
  <si>
    <t xml:space="preserve">B</t>
  </si>
  <si>
    <t xml:space="preserve">正面、チハルが走ってくる→カメラが下がりながら歩き芝居</t>
  </si>
  <si>
    <t xml:space="preserve">会話の本体</t>
  </si>
  <si>
    <t xml:space="preserve">C</t>
  </si>
  <si>
    <t xml:space="preserve">パンチのローアングル</t>
  </si>
  <si>
    <t xml:space="preserve">犬の登場。ここがないと次がつながらない</t>
  </si>
  <si>
    <t xml:space="preserve">D</t>
  </si>
  <si>
    <r>
      <rPr>
        <sz val="10"/>
        <rFont val="WenQuanYi Zen Hei"/>
        <family val="2"/>
      </rPr>
      <t xml:space="preserve">チハルの顔</t>
    </r>
    <r>
      <rPr>
        <sz val="10"/>
        <rFont val="Arial"/>
        <family val="0"/>
        <charset val="1"/>
      </rPr>
      <t xml:space="preserve">20mm</t>
    </r>
    <r>
      <rPr>
        <sz val="10"/>
        <rFont val="WenQuanYi Zen Hei"/>
        <family val="2"/>
      </rPr>
      <t xml:space="preserve">、走って消える</t>
    </r>
  </si>
  <si>
    <t xml:space="preserve">「ちょっと待って！」の動きのきっかけ</t>
  </si>
  <si>
    <t xml:space="preserve">E</t>
  </si>
  <si>
    <t xml:space="preserve">綾瀬側からチハルを見下ろす</t>
  </si>
  <si>
    <t xml:space="preserve">「触ってもいいですか」「いいよ」</t>
  </si>
  <si>
    <t xml:space="preserve">F</t>
  </si>
  <si>
    <r>
      <rPr>
        <sz val="10"/>
        <rFont val="WenQuanYi Zen Hei"/>
        <family val="2"/>
      </rPr>
      <t xml:space="preserve">リョウとチハルの後ろ側</t>
    </r>
    <r>
      <rPr>
        <sz val="10"/>
        <rFont val="Arial"/>
        <family val="0"/>
        <charset val="1"/>
      </rPr>
      <t xml:space="preserve">35mm</t>
    </r>
  </si>
  <si>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で代用できる（台本にも代案あり）</t>
    </r>
  </si>
  <si>
    <t xml:space="preserve">G</t>
  </si>
  <si>
    <t xml:space="preserve">チハルの屈んだ煽り、後ろにリョウ</t>
  </si>
  <si>
    <t xml:space="preserve">チハルの台詞が多い</t>
  </si>
  <si>
    <t xml:space="preserve">H</t>
  </si>
  <si>
    <r>
      <rPr>
        <sz val="10"/>
        <rFont val="WenQuanYi Zen Hei"/>
        <family val="2"/>
      </rPr>
      <t xml:space="preserve">リョウの顔の寄り</t>
    </r>
    <r>
      <rPr>
        <sz val="10"/>
        <rFont val="Arial"/>
        <family val="0"/>
        <charset val="1"/>
      </rPr>
      <t xml:space="preserve">18mm</t>
    </r>
    <r>
      <rPr>
        <sz val="10"/>
        <rFont val="WenQuanYi Zen Hei"/>
        <family val="2"/>
      </rPr>
      <t xml:space="preserve">（不安感）</t>
    </r>
  </si>
  <si>
    <t xml:space="preserve">作品の主題（違和感）</t>
  </si>
  <si>
    <t xml:space="preserve">I</t>
  </si>
  <si>
    <t xml:space="preserve">リョウの正面右、恐る恐る触る</t>
  </si>
  <si>
    <t xml:space="preserve">「あったかい」。この場面の山</t>
  </si>
  <si>
    <t xml:space="preserve">J</t>
  </si>
  <si>
    <t xml:space="preserve">引き、綾瀬の顔と二人の後ろ姿</t>
  </si>
  <si>
    <t xml:space="preserve">綾瀬の微笑み。なくても話は通じる</t>
  </si>
  <si>
    <t xml:space="preserve">K</t>
  </si>
  <si>
    <t xml:space="preserve">チハルの背中越しにリョウを追うチルト</t>
  </si>
  <si>
    <r>
      <rPr>
        <sz val="10"/>
        <rFont val="WenQuanYi Zen Hei"/>
        <family val="2"/>
      </rPr>
      <t xml:space="preserve">つなぎのカット。</t>
    </r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で代用できる</t>
    </r>
  </si>
  <si>
    <t xml:space="preserve">L</t>
  </si>
  <si>
    <t xml:space="preserve">綾瀬の背中越し、二人が走り去る</t>
  </si>
  <si>
    <t xml:space="preserve">場面の出口（「行ってらっしゃい」）</t>
  </si>
  <si>
    <t xml:space="preserve">M</t>
  </si>
  <si>
    <t xml:space="preserve">二人が学校まで走る、正面</t>
  </si>
  <si>
    <r>
      <rPr>
        <sz val="10"/>
        <rFont val="Arial"/>
        <family val="0"/>
        <charset val="1"/>
      </rPr>
      <t xml:space="preserve">S3</t>
    </r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でも走って登場する</t>
    </r>
  </si>
  <si>
    <r>
      <rPr>
        <sz val="10"/>
        <rFont val="WenQuanYi Zen Hei"/>
        <family val="2"/>
      </rPr>
      <t xml:space="preserve">教室の入口、子どもたちが入っていく</t>
    </r>
    <r>
      <rPr>
        <sz val="10"/>
        <rFont val="Arial"/>
        <family val="0"/>
        <charset val="1"/>
      </rPr>
      <t xml:space="preserve">18mm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</si>
  <si>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の入りで代用できる</t>
    </r>
  </si>
  <si>
    <t xml:space="preserve">リョウが入る→ソウタが後ろから声→席まで歩く</t>
  </si>
  <si>
    <t xml:space="preserve">二人の関係の紹介</t>
  </si>
  <si>
    <r>
      <rPr>
        <sz val="10"/>
        <rFont val="WenQuanYi Zen Hei"/>
        <family val="2"/>
      </rPr>
      <t xml:space="preserve">入口側から黒板へ、全体</t>
    </r>
    <r>
      <rPr>
        <sz val="10"/>
        <rFont val="Arial"/>
        <family val="0"/>
        <charset val="1"/>
      </rPr>
      <t xml:space="preserve">18mm</t>
    </r>
    <r>
      <rPr>
        <sz val="10"/>
        <rFont val="WenQuanYi Zen Hei"/>
        <family val="2"/>
      </rPr>
      <t xml:space="preserve">、座るまで</t>
    </r>
  </si>
  <si>
    <t xml:space="preserve">教室の全体を見せる唯一の画</t>
  </si>
  <si>
    <r>
      <rPr>
        <sz val="10"/>
        <rFont val="WenQuanYi Zen Hei"/>
        <family val="2"/>
      </rPr>
      <t xml:space="preserve">教卓の左から野口</t>
    </r>
    <r>
      <rPr>
        <sz val="10"/>
        <rFont val="Arial"/>
        <family val="0"/>
        <charset val="1"/>
      </rPr>
      <t xml:space="preserve">18mm</t>
    </r>
    <r>
      <rPr>
        <sz val="10"/>
        <rFont val="WenQuanYi Zen Hei"/>
        <family val="2"/>
      </rPr>
      <t xml:space="preserve">「日直のソウタさん」</t>
    </r>
  </si>
  <si>
    <t xml:space="preserve">エキストラなしで事前に撮れる</t>
  </si>
  <si>
    <r>
      <rPr>
        <sz val="10"/>
        <rFont val="WenQuanYi Zen Hei"/>
        <family val="2"/>
      </rPr>
      <t xml:space="preserve">ソウタの顔（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番側）、起立から</t>
    </r>
  </si>
  <si>
    <t xml:space="preserve">日直の号令</t>
  </si>
  <si>
    <r>
      <rPr>
        <sz val="10"/>
        <rFont val="WenQuanYi Zen Hei"/>
        <family val="2"/>
      </rPr>
      <t xml:space="preserve">後ろから</t>
    </r>
    <r>
      <rPr>
        <sz val="10"/>
        <rFont val="Arial"/>
        <family val="0"/>
        <charset val="1"/>
      </rPr>
      <t xml:space="preserve">50mm</t>
    </r>
    <r>
      <rPr>
        <sz val="10"/>
        <rFont val="WenQuanYi Zen Hei"/>
        <family val="2"/>
      </rPr>
      <t xml:space="preserve">圧縮、野口が真ん中「宿題忘れた人」</t>
    </r>
  </si>
  <si>
    <t xml:space="preserve">先生の威圧感。場面の芯</t>
  </si>
  <si>
    <t xml:space="preserve">ソウタと別の子が立つ：顔・足元・引き</t>
  </si>
  <si>
    <r>
      <rPr>
        <sz val="10"/>
        <rFont val="WenQuanYi Zen Hei"/>
        <family val="2"/>
      </rPr>
      <t xml:space="preserve">「ここの間は超重要」（実際は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カット分）</t>
    </r>
  </si>
  <si>
    <r>
      <rPr>
        <sz val="10"/>
        <rFont val="WenQuanYi Zen Hei"/>
        <family val="2"/>
      </rPr>
      <t xml:space="preserve">野口の顔の寄り</t>
    </r>
    <r>
      <rPr>
        <sz val="10"/>
        <rFont val="Arial"/>
        <family val="0"/>
        <charset val="1"/>
      </rPr>
      <t xml:space="preserve">18mm</t>
    </r>
    <r>
      <rPr>
        <sz val="10"/>
        <rFont val="WenQuanYi Zen Hei"/>
        <family val="2"/>
      </rPr>
      <t xml:space="preserve">「ソウタさん今日もですか」</t>
    </r>
  </si>
  <si>
    <t xml:space="preserve">違和感の中心。エキストラなしで事前に撮れる</t>
  </si>
  <si>
    <t xml:space="preserve">ソウタの顔の寄り、視線をそらす</t>
  </si>
  <si>
    <r>
      <rPr>
        <sz val="10"/>
        <rFont val="Arial"/>
        <family val="0"/>
        <charset val="1"/>
      </rPr>
      <t xml:space="preserve">G</t>
    </r>
    <r>
      <rPr>
        <sz val="10"/>
        <rFont val="WenQuanYi Zen Hei"/>
        <family val="2"/>
      </rPr>
      <t xml:space="preserve">の顔の寄りで代用できる</t>
    </r>
  </si>
  <si>
    <t xml:space="preserve">リョウの机の角の下からカメラが上がる</t>
  </si>
  <si>
    <t xml:space="preserve">主人公が「感じ取る」画。場面の締め</t>
  </si>
  <si>
    <t xml:space="preserve">体育館に入る、笹原がドアから出ていく</t>
  </si>
  <si>
    <r>
      <rPr>
        <sz val="10"/>
        <rFont val="WenQuanYi Zen Hei"/>
        <family val="2"/>
      </rPr>
      <t xml:space="preserve">笹原の唯一の出番（</t>
    </r>
    <r>
      <rPr>
        <sz val="10"/>
        <rFont val="Arial"/>
        <family val="0"/>
        <charset val="1"/>
      </rPr>
      <t xml:space="preserve">11/3</t>
    </r>
    <r>
      <rPr>
        <sz val="10"/>
        <rFont val="WenQuanYi Zen Hei"/>
        <family val="2"/>
      </rPr>
      <t xml:space="preserve">）</t>
    </r>
  </si>
  <si>
    <t xml:space="preserve">舞台の階段を上がって座る</t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</si>
  <si>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の引きで座っている状態から始められる</t>
    </r>
  </si>
  <si>
    <r>
      <rPr>
        <sz val="10"/>
        <rFont val="WenQuanYi Zen Hei"/>
        <family val="2"/>
      </rPr>
      <t xml:space="preserve">チハルが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冊目で飽きる（長い芝居）</t>
    </r>
  </si>
  <si>
    <t xml:space="preserve">チハルの性格を見せる</t>
  </si>
  <si>
    <r>
      <rPr>
        <sz val="10"/>
        <rFont val="WenQuanYi Zen Hei"/>
        <family val="2"/>
      </rPr>
      <t xml:space="preserve">リョウ側</t>
    </r>
    <r>
      <rPr>
        <sz val="10"/>
        <rFont val="Arial"/>
        <family val="0"/>
        <charset val="1"/>
      </rPr>
      <t xml:space="preserve">35mm</t>
    </r>
    <r>
      <rPr>
        <sz val="10"/>
        <rFont val="WenQuanYi Zen Hei"/>
        <family val="2"/>
      </rPr>
      <t xml:space="preserve">、「バスケしようよ」</t>
    </r>
  </si>
  <si>
    <t xml:space="preserve">会話の起点</t>
  </si>
  <si>
    <t xml:space="preserve">後ろ姿、チハルが倉庫へ走る</t>
  </si>
  <si>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の入りで代用できる</t>
    </r>
  </si>
  <si>
    <t xml:space="preserve">チハルのドリブル→シュート（背中の煽り）</t>
  </si>
  <si>
    <t xml:space="preserve">シュートは決まらなくてもよい形にすれば短くなる</t>
  </si>
  <si>
    <t xml:space="preserve">天井通路から広角、ソウタが入ってくる</t>
  </si>
  <si>
    <t xml:space="preserve">ソウタの登場。通路が使えなければ床から広角</t>
  </si>
  <si>
    <t xml:space="preserve">リョウの正面、前ボケでチハル「ねえ、リョウ！」</t>
  </si>
  <si>
    <t xml:space="preserve">リョウが折れるまでの流れ</t>
  </si>
  <si>
    <t xml:space="preserve">チハルがリョウにくっつく「ボール貸して」</t>
  </si>
  <si>
    <t xml:space="preserve">場面の転換点</t>
  </si>
  <si>
    <r>
      <rPr>
        <sz val="10"/>
        <rFont val="WenQuanYi Zen Hei"/>
        <family val="2"/>
      </rPr>
      <t xml:space="preserve">真後ろ、三人が遊ぶ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秒</t>
    </r>
  </si>
  <si>
    <r>
      <rPr>
        <sz val="10"/>
        <rFont val="WenQuanYi Zen Hei"/>
        <family val="2"/>
      </rPr>
      <t xml:space="preserve">場面の山。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秒を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テイクで決める</t>
    </r>
  </si>
  <si>
    <t xml:space="preserve">ゴールからチルトダウン、ソウタが去る</t>
  </si>
  <si>
    <t xml:space="preserve">ソウタの退場の台詞</t>
  </si>
  <si>
    <t xml:space="preserve">倉庫の前、本を持って出ていく</t>
  </si>
  <si>
    <t xml:space="preserve">場面の出口。次の場面への移動で省略できる</t>
  </si>
  <si>
    <t xml:space="preserve">黒板消しの寄り→引いてパン、座り始め</t>
  </si>
  <si>
    <t xml:space="preserve">帰りの会の入り</t>
  </si>
  <si>
    <t xml:space="preserve">後ろから引き、野口がプリントを配る</t>
  </si>
  <si>
    <r>
      <rPr>
        <sz val="10"/>
        <rFont val="WenQuanYi Zen Hei"/>
        <family val="2"/>
      </rPr>
      <t xml:space="preserve">野口の台詞は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の音で代用できる</t>
    </r>
  </si>
  <si>
    <t xml:space="preserve">ソウタがプリントをぐちゃぐちゃに、隣の子と話す</t>
  </si>
  <si>
    <t xml:space="preserve">リョウとの対比（「普通」の主題）</t>
  </si>
  <si>
    <r>
      <rPr>
        <sz val="10"/>
        <rFont val="WenQuanYi Zen Hei"/>
        <family val="2"/>
      </rPr>
      <t xml:space="preserve">リョウがクリアファイルにしまう</t>
    </r>
    <r>
      <rPr>
        <sz val="10"/>
        <rFont val="Arial"/>
        <family val="0"/>
        <charset val="1"/>
      </rPr>
      <t xml:space="preserve">20mm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</si>
  <si>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との対比</t>
    </r>
  </si>
  <si>
    <r>
      <rPr>
        <sz val="10"/>
        <rFont val="WenQuanYi Zen Hei"/>
        <family val="2"/>
      </rPr>
      <t xml:space="preserve">後ろ</t>
    </r>
    <r>
      <rPr>
        <sz val="10"/>
        <rFont val="Arial"/>
        <family val="0"/>
        <charset val="1"/>
      </rPr>
      <t xml:space="preserve">18mm</t>
    </r>
    <r>
      <rPr>
        <sz val="10"/>
        <rFont val="WenQuanYi Zen Hei"/>
        <family val="2"/>
      </rPr>
      <t xml:space="preserve">、起立・さようなら、左に動く</t>
    </r>
  </si>
  <si>
    <t xml:space="preserve">場面の締め</t>
  </si>
  <si>
    <t xml:space="preserve">末尾</t>
  </si>
  <si>
    <t xml:space="preserve">男子が下駄箱まで競争、リョウが席を立つ（構図なし）</t>
  </si>
  <si>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の続きとして撮る（構図を増やさない）。時間は尺の分だけ</t>
    </r>
  </si>
  <si>
    <r>
      <rPr>
        <sz val="11"/>
        <color theme="1"/>
        <rFont val="WenQuanYi Zen Hei"/>
        <family val="2"/>
      </rPr>
      <t xml:space="preserve">・事前撮り＝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の構図は、</t>
    </r>
    <r>
      <rPr>
        <sz val="11"/>
        <color theme="1"/>
        <rFont val="Arial"/>
        <family val="0"/>
        <charset val="1"/>
      </rPr>
      <t xml:space="preserve">DAY2</t>
    </r>
    <r>
      <rPr>
        <sz val="11"/>
        <color theme="1"/>
        <rFont val="WenQuanYi Zen Hei"/>
        <family val="2"/>
      </rPr>
      <t xml:space="preserve">の</t>
    </r>
    <r>
      <rPr>
        <sz val="11"/>
        <color theme="1"/>
        <rFont val="Arial"/>
        <family val="0"/>
        <charset val="1"/>
      </rPr>
      <t xml:space="preserve">9:40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10:25</t>
    </r>
    <r>
      <rPr>
        <sz val="11"/>
        <color theme="1"/>
        <rFont val="WenQuanYi Zen Hei"/>
        <family val="2"/>
      </rPr>
      <t xml:space="preserve">（エキストラ集合前）に撮る想定。本番（</t>
    </r>
    <r>
      <rPr>
        <sz val="11"/>
        <color theme="1"/>
        <rFont val="Arial"/>
        <family val="0"/>
        <charset val="1"/>
      </rPr>
      <t xml:space="preserve">10:30</t>
    </r>
    <r>
      <rPr>
        <sz val="11"/>
        <color theme="1"/>
        <rFont val="WenQuanYi Zen Hei"/>
        <family val="2"/>
      </rPr>
      <t xml:space="preserve">〜）の時間からは外して計算しています。</t>
    </r>
  </si>
  <si>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S15</t>
    </r>
    <r>
      <rPr>
        <sz val="11"/>
        <color theme="1"/>
        <rFont val="WenQuanYi Zen Hei"/>
        <family val="2"/>
      </rPr>
      <t xml:space="preserve">は構図がすべて未確定（ピンク）。監督のコンテ確定で優先度が変わったら、</t>
    </r>
    <r>
      <rPr>
        <sz val="11"/>
        <color theme="1"/>
        <rFont val="Arial"/>
        <family val="0"/>
        <charset val="1"/>
      </rPr>
      <t xml:space="preserve">D</t>
    </r>
    <r>
      <rPr>
        <sz val="11"/>
        <color theme="1"/>
        <rFont val="WenQuanYi Zen Hei"/>
        <family val="2"/>
      </rPr>
      <t xml:space="preserve">列を書き換えてください。</t>
    </r>
  </si>
  <si>
    <t xml:space="preserve">シーンごとの見積もり（分）</t>
  </si>
  <si>
    <t xml:space="preserve">青字＝入力。黄色＝仮の値、緑＝資料にある値。『選択範囲』列は、構図優先度シートの『撮る範囲』で絞った場合の値。</t>
  </si>
  <si>
    <t xml:space="preserve">日付</t>
  </si>
  <si>
    <t xml:space="preserve">ブロック</t>
  </si>
  <si>
    <t xml:space="preserve">場所（脚本）</t>
  </si>
  <si>
    <t xml:space="preserve">屋内外</t>
  </si>
  <si>
    <t xml:space="preserve">時間帯（脚本）</t>
  </si>
  <si>
    <r>
      <rPr>
        <b val="true"/>
        <sz val="10"/>
        <rFont val="WenQuanYi Zen Hei"/>
        <family val="2"/>
      </rPr>
      <t xml:space="preserve">現行の枠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</si>
  <si>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構図数</t>
  </si>
  <si>
    <t xml:space="preserve">セリフ行数</t>
  </si>
  <si>
    <r>
      <rPr>
        <b val="true"/>
        <sz val="10"/>
        <rFont val="WenQuanYi Zen Hei"/>
        <family val="2"/>
      </rPr>
      <t xml:space="preserve">子役人数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芝居</t>
    </r>
    <r>
      <rPr>
        <b val="true"/>
        <sz val="10"/>
        <rFont val="Arial"/>
        <family val="0"/>
        <charset val="1"/>
      </rPr>
      <t xml:space="preserve">)</t>
    </r>
  </si>
  <si>
    <t xml:space="preserve">大人キャスト</t>
  </si>
  <si>
    <t xml:space="preserve">動物</t>
  </si>
  <si>
    <t xml:space="preserve">エキストラ人数</t>
  </si>
  <si>
    <t xml:space="preserve">長回し構図数</t>
  </si>
  <si>
    <t xml:space="preserve">未確定構図数</t>
  </si>
  <si>
    <t xml:space="preserve">アクション成功</t>
  </si>
  <si>
    <t xml:space="preserve">大リセット</t>
  </si>
  <si>
    <t xml:space="preserve">準備種別</t>
  </si>
  <si>
    <r>
      <rPr>
        <b val="true"/>
        <sz val="10"/>
        <rFont val="WenQuanYi Zen Hei"/>
        <family val="2"/>
      </rPr>
      <t xml:space="preserve">平均尺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)</t>
    </r>
  </si>
  <si>
    <t xml:space="preserve">小道具</t>
  </si>
  <si>
    <t xml:space="preserve">動き・指定（脚本より）</t>
  </si>
  <si>
    <t xml:space="preserve">テイク係数</t>
  </si>
  <si>
    <r>
      <rPr>
        <b val="true"/>
        <sz val="10"/>
        <rFont val="WenQuanYi Zen Hei"/>
        <family val="2"/>
      </rPr>
      <t xml:space="preserve">最短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準備</t>
    </r>
  </si>
  <si>
    <r>
      <rPr>
        <b val="true"/>
        <sz val="10"/>
        <rFont val="WenQuanYi Zen Hei"/>
        <family val="2"/>
      </rPr>
      <t xml:space="preserve">最短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撮影</t>
    </r>
  </si>
  <si>
    <r>
      <rPr>
        <b val="true"/>
        <sz val="10"/>
        <rFont val="WenQuanYi Zen Hei"/>
        <family val="2"/>
      </rPr>
      <t xml:space="preserve">最短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切替</t>
    </r>
  </si>
  <si>
    <r>
      <rPr>
        <b val="true"/>
        <sz val="10"/>
        <rFont val="WenQuanYi Zen Hei"/>
        <family val="2"/>
      </rPr>
      <t xml:space="preserve">最短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合計</t>
    </r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</si>
  <si>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準備</t>
    </r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</si>
  <si>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撮影</t>
    </r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</si>
  <si>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切替</t>
    </r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</si>
  <si>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合計</t>
    </r>
  </si>
  <si>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準備</t>
    </r>
  </si>
  <si>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撮影</t>
    </r>
  </si>
  <si>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切替</t>
    </r>
  </si>
  <si>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合計</t>
    </r>
  </si>
  <si>
    <t xml:space="preserve">感度倍率</t>
  </si>
  <si>
    <t xml:space="preserve">判定</t>
  </si>
  <si>
    <t xml:space="preserve">枠−標準</t>
  </si>
  <si>
    <t xml:space="preserve">現行の開始</t>
  </si>
  <si>
    <t xml:space="preserve">現行の終了</t>
  </si>
  <si>
    <t xml:space="preserve">先行準備</t>
  </si>
  <si>
    <r>
      <rPr>
        <b val="true"/>
        <sz val="10"/>
        <rFont val="WenQuanYi Zen Hei"/>
        <family val="2"/>
      </rPr>
      <t xml:space="preserve">選択範囲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構図数</t>
    </r>
  </si>
  <si>
    <r>
      <rPr>
        <b val="true"/>
        <sz val="10"/>
        <rFont val="WenQuanYi Zen Hei"/>
        <family val="2"/>
      </rPr>
      <t xml:space="preserve">選択範囲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標準</t>
    </r>
  </si>
  <si>
    <r>
      <rPr>
        <b val="true"/>
        <sz val="10"/>
        <rFont val="WenQuanYi Zen Hei"/>
        <family val="2"/>
      </rPr>
      <t xml:space="preserve">選択範囲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余裕</t>
    </r>
  </si>
  <si>
    <t xml:space="preserve">出典</t>
  </si>
  <si>
    <t xml:space="preserve">3</t>
  </si>
  <si>
    <t xml:space="preserve">D1</t>
  </si>
  <si>
    <t xml:space="preserve">小学校・校門</t>
  </si>
  <si>
    <t xml:space="preserve">屋外</t>
  </si>
  <si>
    <t xml:space="preserve">朝</t>
  </si>
  <si>
    <t xml:space="preserve">ランドセル・脚立</t>
  </si>
  <si>
    <r>
      <rPr>
        <sz val="11"/>
        <color theme="1"/>
        <rFont val="WenQuanYi Zen Hei"/>
        <family val="2"/>
      </rPr>
      <t xml:space="preserve">脚立で高い位置から／広角で追う（</t>
    </r>
    <r>
      <rPr>
        <sz val="11"/>
        <color theme="1"/>
        <rFont val="Arial"/>
        <family val="0"/>
        <charset val="1"/>
      </rPr>
      <t xml:space="preserve">A</t>
    </r>
    <r>
      <rPr>
        <sz val="11"/>
        <color theme="1"/>
        <rFont val="WenQuanYi Zen Hei"/>
        <family val="2"/>
      </rPr>
      <t xml:space="preserve">）／後ろ姿を追う（</t>
    </r>
    <r>
      <rPr>
        <sz val="11"/>
        <color theme="1"/>
        <rFont val="Arial"/>
        <family val="0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</si>
  <si>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構図数・枠：資料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／尺：仮の値／エキストラ人数：資料</t>
    </r>
    <r>
      <rPr>
        <sz val="10"/>
        <rFont val="Arial"/>
        <family val="0"/>
        <charset val="1"/>
      </rPr>
      <t xml:space="preserve">1</t>
    </r>
  </si>
  <si>
    <t xml:space="preserve">4</t>
  </si>
  <si>
    <t xml:space="preserve">同・階段</t>
  </si>
  <si>
    <t xml:space="preserve">屋内</t>
  </si>
  <si>
    <t xml:space="preserve">ランドセル</t>
  </si>
  <si>
    <t xml:space="preserve">ワンカット：手を振り合って別れるまで、カメラが階段を一緒に登る</t>
  </si>
  <si>
    <t xml:space="preserve">16A</t>
  </si>
  <si>
    <t xml:space="preserve">同・校庭（エキストラ別撮り）</t>
  </si>
  <si>
    <t xml:space="preserve">昼過ぎ</t>
  </si>
  <si>
    <t xml:space="preserve">サッカーボール・ペットボトル</t>
  </si>
  <si>
    <t xml:space="preserve">エキストラのみ。サッカー／ペットボトルを狙うゲーム</t>
  </si>
  <si>
    <t xml:space="preserve">13</t>
  </si>
  <si>
    <t xml:space="preserve">同・校庭</t>
  </si>
  <si>
    <t xml:space="preserve">（指定なし）</t>
  </si>
  <si>
    <r>
      <rPr>
        <sz val="11"/>
        <color theme="1"/>
        <rFont val="WenQuanYi Zen Hei"/>
        <family val="2"/>
      </rPr>
      <t xml:space="preserve">男子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人は当日エキストラから選ぶ。男子の顔は映さない</t>
    </r>
  </si>
  <si>
    <r>
      <rPr>
        <sz val="10"/>
        <rFont val="WenQuanYi Zen Hei"/>
        <family val="2"/>
      </rPr>
      <t xml:space="preserve">構図数・枠：資料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／尺：仮の値</t>
    </r>
  </si>
  <si>
    <t xml:space="preserve">D2a</t>
  </si>
  <si>
    <t xml:space="preserve">同・教室（朝の会）</t>
  </si>
  <si>
    <t xml:space="preserve">出席簿・チョーク・椅子</t>
  </si>
  <si>
    <r>
      <rPr>
        <sz val="11"/>
        <color theme="1"/>
        <rFont val="Arial"/>
        <family val="0"/>
        <charset val="1"/>
      </rPr>
      <t xml:space="preserve">12</t>
    </r>
    <r>
      <rPr>
        <sz val="11"/>
        <color theme="1"/>
        <rFont val="WenQuanYi Zen Hei"/>
        <family val="2"/>
      </rPr>
      <t xml:space="preserve">人前後。</t>
    </r>
    <r>
      <rPr>
        <sz val="11"/>
        <color theme="1"/>
        <rFont val="Arial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：席まで歩く／</t>
    </r>
    <r>
      <rPr>
        <sz val="11"/>
        <color theme="1"/>
        <rFont val="Arial"/>
        <family val="0"/>
        <charset val="1"/>
      </rPr>
      <t xml:space="preserve">C</t>
    </r>
    <r>
      <rPr>
        <sz val="11"/>
        <color theme="1"/>
        <rFont val="WenQuanYi Zen Hei"/>
        <family val="2"/>
      </rPr>
      <t xml:space="preserve">：座るまで同構図／</t>
    </r>
    <r>
      <rPr>
        <sz val="11"/>
        <color theme="1"/>
        <rFont val="Arial"/>
        <family val="0"/>
        <charset val="1"/>
      </rPr>
      <t xml:space="preserve">J</t>
    </r>
    <r>
      <rPr>
        <sz val="11"/>
        <color theme="1"/>
        <rFont val="WenQuanYi Zen Hei"/>
        <family val="2"/>
      </rPr>
      <t xml:space="preserve">：机の下からカメラが上がる。「間」が超重要</t>
    </r>
  </si>
  <si>
    <t xml:space="preserve">6</t>
  </si>
  <si>
    <t xml:space="preserve">同・教室（国語）</t>
  </si>
  <si>
    <t xml:space="preserve">（授業中）</t>
  </si>
  <si>
    <t xml:space="preserve">教科書・消しゴム・時計</t>
  </si>
  <si>
    <t xml:space="preserve">時計の時間変更。生徒それぞれの芝居（誰が何をするかは未定）</t>
  </si>
  <si>
    <t xml:space="preserve">8</t>
  </si>
  <si>
    <t xml:space="preserve">同・教室（ソワソワ）</t>
  </si>
  <si>
    <t xml:space="preserve">10:18</t>
  </si>
  <si>
    <r>
      <rPr>
        <sz val="11"/>
        <color theme="1"/>
        <rFont val="WenQuanYi Zen Hei"/>
        <family val="2"/>
      </rPr>
      <t xml:space="preserve">時計</t>
    </r>
    <r>
      <rPr>
        <sz val="11"/>
        <color theme="1"/>
        <rFont val="Arial"/>
        <family val="0"/>
        <charset val="1"/>
      </rPr>
      <t xml:space="preserve">(10:18)</t>
    </r>
    <r>
      <rPr>
        <sz val="11"/>
        <color theme="1"/>
        <rFont val="WenQuanYi Zen Hei"/>
        <family val="2"/>
      </rPr>
      <t xml:space="preserve">・ボール・ボールネット</t>
    </r>
  </si>
  <si>
    <t xml:space="preserve">時計の寄り／ボールを追う</t>
  </si>
  <si>
    <t xml:space="preserve">9</t>
  </si>
  <si>
    <t xml:space="preserve">同・廊下</t>
  </si>
  <si>
    <t xml:space="preserve">10:20</t>
  </si>
  <si>
    <t xml:space="preserve">段ボール・ボール</t>
  </si>
  <si>
    <t xml:space="preserve">全員が教室を飛び出す（望遠）。本番前に熱を作る。テイクごとに全員を戻す</t>
  </si>
  <si>
    <t xml:space="preserve">10</t>
  </si>
  <si>
    <t xml:space="preserve">同・教室（はい）</t>
  </si>
  <si>
    <t xml:space="preserve">中休み</t>
  </si>
  <si>
    <t xml:space="preserve">ノート・ペン・散らかった教科書</t>
  </si>
  <si>
    <r>
      <rPr>
        <sz val="11"/>
        <color theme="1"/>
        <rFont val="WenQuanYi Zen Hei"/>
        <family val="2"/>
      </rPr>
      <t xml:space="preserve">女子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人。</t>
    </r>
    <r>
      <rPr>
        <sz val="11"/>
        <color theme="1"/>
        <rFont val="Arial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：野口が歩いてきてカメラも寄る</t>
    </r>
  </si>
  <si>
    <t xml:space="preserve">D2b</t>
  </si>
  <si>
    <t xml:space="preserve">同・教室（帰りの会）</t>
  </si>
  <si>
    <t xml:space="preserve">放課後</t>
  </si>
  <si>
    <t xml:space="preserve">プリント・クリアファイル・ランドセル・黒板消し</t>
  </si>
  <si>
    <r>
      <rPr>
        <sz val="11"/>
        <color theme="1"/>
        <rFont val="Arial"/>
        <family val="0"/>
        <charset val="1"/>
      </rPr>
      <t xml:space="preserve">A</t>
    </r>
    <r>
      <rPr>
        <sz val="11"/>
        <color theme="1"/>
        <rFont val="WenQuanYi Zen Hei"/>
        <family val="2"/>
      </rPr>
      <t xml:space="preserve">：黒板消しの寄りから引いてパン／</t>
    </r>
    <r>
      <rPr>
        <sz val="11"/>
        <color theme="1"/>
        <rFont val="Arial"/>
        <family val="0"/>
        <charset val="1"/>
      </rPr>
      <t xml:space="preserve">E</t>
    </r>
    <r>
      <rPr>
        <sz val="11"/>
        <color theme="1"/>
        <rFont val="WenQuanYi Zen Hei"/>
        <family val="2"/>
      </rPr>
      <t xml:space="preserve">：左に動く。末尾「下駄箱まで競争」は構図なし</t>
    </r>
  </si>
  <si>
    <t xml:space="preserve">D3a</t>
  </si>
  <si>
    <t xml:space="preserve">同・体育館</t>
  </si>
  <si>
    <t xml:space="preserve">（休み時間）</t>
  </si>
  <si>
    <r>
      <rPr>
        <sz val="11"/>
        <color theme="1"/>
        <rFont val="WenQuanYi Zen Hei"/>
        <family val="2"/>
      </rPr>
      <t xml:space="preserve">本（</t>
    </r>
    <r>
      <rPr>
        <sz val="11"/>
        <color theme="1"/>
        <rFont val="Arial"/>
        <family val="0"/>
        <charset val="1"/>
      </rPr>
      <t xml:space="preserve">5</t>
    </r>
    <r>
      <rPr>
        <sz val="11"/>
        <color theme="1"/>
        <rFont val="WenQuanYi Zen Hei"/>
        <family val="2"/>
      </rPr>
      <t xml:space="preserve">冊・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冊）・バスケットボール</t>
    </r>
  </si>
  <si>
    <r>
      <rPr>
        <sz val="11"/>
        <color theme="1"/>
        <rFont val="WenQuanYi Zen Hei"/>
        <family val="2"/>
      </rPr>
      <t xml:space="preserve">構図</t>
    </r>
    <r>
      <rPr>
        <sz val="11"/>
        <color theme="1"/>
        <rFont val="Arial"/>
        <family val="0"/>
        <charset val="1"/>
      </rPr>
      <t xml:space="preserve">A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WenQuanYi Zen Hei"/>
        <family val="2"/>
      </rPr>
      <t xml:space="preserve">すべて未確定。シュート（</t>
    </r>
    <r>
      <rPr>
        <sz val="11"/>
        <color theme="1"/>
        <rFont val="Arial"/>
        <family val="0"/>
        <charset val="1"/>
      </rPr>
      <t xml:space="preserve">F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G</t>
    </r>
    <r>
      <rPr>
        <sz val="11"/>
        <color theme="1"/>
        <rFont val="WenQuanYi Zen Hei"/>
        <family val="2"/>
      </rPr>
      <t xml:space="preserve">）、天井通路から広角（</t>
    </r>
    <r>
      <rPr>
        <sz val="11"/>
        <color theme="1"/>
        <rFont val="Arial"/>
        <family val="0"/>
        <charset val="1"/>
      </rPr>
      <t xml:space="preserve">G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Arial"/>
        <family val="0"/>
        <charset val="1"/>
      </rPr>
      <t xml:space="preserve">J</t>
    </r>
    <r>
      <rPr>
        <sz val="11"/>
        <color theme="1"/>
        <rFont val="WenQuanYi Zen Hei"/>
        <family val="2"/>
      </rPr>
      <t xml:space="preserve">：同構図で</t>
    </r>
    <r>
      <rPr>
        <sz val="11"/>
        <color theme="1"/>
        <rFont val="Arial"/>
        <family val="0"/>
        <charset val="1"/>
      </rPr>
      <t xml:space="preserve">20</t>
    </r>
    <r>
      <rPr>
        <sz val="11"/>
        <color theme="1"/>
        <rFont val="WenQuanYi Zen Hei"/>
        <family val="2"/>
      </rPr>
      <t xml:space="preserve">秒</t>
    </r>
  </si>
  <si>
    <t xml:space="preserve">12</t>
  </si>
  <si>
    <t xml:space="preserve">同・一階廊下（図書室前）</t>
  </si>
  <si>
    <t xml:space="preserve">本・図書室の看板</t>
  </si>
  <si>
    <t xml:space="preserve">看板から下がり、正面に回り込む長回し。男の子の声は別録り</t>
  </si>
  <si>
    <t xml:space="preserve">14</t>
  </si>
  <si>
    <t xml:space="preserve">本</t>
  </si>
  <si>
    <r>
      <rPr>
        <sz val="11"/>
        <color theme="1"/>
        <rFont val="Arial"/>
        <family val="0"/>
        <charset val="1"/>
      </rPr>
      <t xml:space="preserve">18mm</t>
    </r>
    <r>
      <rPr>
        <sz val="11"/>
        <color theme="1"/>
        <rFont val="WenQuanYi Zen Hei"/>
        <family val="2"/>
      </rPr>
      <t xml:space="preserve">で顔、歪ませる</t>
    </r>
  </si>
  <si>
    <t xml:space="preserve">16</t>
  </si>
  <si>
    <t xml:space="preserve">同・校庭（リョウ・ソウタ）</t>
  </si>
  <si>
    <t xml:space="preserve">石</t>
  </si>
  <si>
    <r>
      <rPr>
        <sz val="11"/>
        <color theme="1"/>
        <rFont val="Arial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Arial"/>
        <family val="0"/>
        <charset val="1"/>
      </rPr>
      <t xml:space="preserve">100mm</t>
    </r>
    <r>
      <rPr>
        <sz val="11"/>
        <color theme="1"/>
        <rFont val="WenQuanYi Zen Hei"/>
        <family val="2"/>
      </rPr>
      <t xml:space="preserve">望遠／</t>
    </r>
    <r>
      <rPr>
        <sz val="11"/>
        <color theme="1"/>
        <rFont val="Arial"/>
        <family val="0"/>
        <charset val="1"/>
      </rPr>
      <t xml:space="preserve">E</t>
    </r>
    <r>
      <rPr>
        <sz val="11"/>
        <color theme="1"/>
        <rFont val="WenQuanYi Zen Hei"/>
        <family val="2"/>
      </rPr>
      <t xml:space="preserve">：ワンカットで全部言う。背景に「遊んでいる生徒」が必要</t>
    </r>
  </si>
  <si>
    <t xml:space="preserve">11</t>
  </si>
  <si>
    <t xml:space="preserve">同・廊下・階段</t>
  </si>
  <si>
    <t xml:space="preserve">放課後直後</t>
  </si>
  <si>
    <t xml:space="preserve">ポスター・本・筆箱</t>
  </si>
  <si>
    <r>
      <rPr>
        <sz val="11"/>
        <color theme="1"/>
        <rFont val="Arial"/>
        <family val="0"/>
        <charset val="1"/>
      </rPr>
      <t xml:space="preserve">A</t>
    </r>
    <r>
      <rPr>
        <sz val="11"/>
        <color theme="1"/>
        <rFont val="WenQuanYi Zen Hei"/>
        <family val="2"/>
      </rPr>
      <t xml:space="preserve">：教室から階段までワンカットで後ろに下がる／</t>
    </r>
    <r>
      <rPr>
        <sz val="11"/>
        <color theme="1"/>
        <rFont val="Arial"/>
        <family val="0"/>
        <charset val="1"/>
      </rPr>
      <t xml:space="preserve">D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Arial"/>
        <family val="0"/>
        <charset val="1"/>
      </rPr>
      <t xml:space="preserve">50mm</t>
    </r>
    <r>
      <rPr>
        <sz val="11"/>
        <color theme="1"/>
        <rFont val="WenQuanYi Zen Hei"/>
        <family val="2"/>
      </rPr>
      <t xml:space="preserve">で目だけ最低</t>
    </r>
    <r>
      <rPr>
        <sz val="11"/>
        <color theme="1"/>
        <rFont val="Arial"/>
        <family val="0"/>
        <charset val="1"/>
      </rPr>
      <t xml:space="preserve">20</t>
    </r>
    <r>
      <rPr>
        <sz val="11"/>
        <color theme="1"/>
        <rFont val="WenQuanYi Zen Hei"/>
        <family val="2"/>
      </rPr>
      <t xml:space="preserve">秒、ワンカットで振り向く</t>
    </r>
  </si>
  <si>
    <t xml:space="preserve">19</t>
  </si>
  <si>
    <t xml:space="preserve">D3b</t>
  </si>
  <si>
    <t xml:space="preserve">同・下駄箱</t>
  </si>
  <si>
    <t xml:space="preserve">夕方</t>
  </si>
  <si>
    <t xml:space="preserve">靴</t>
  </si>
  <si>
    <r>
      <rPr>
        <sz val="11"/>
        <color theme="1"/>
        <rFont val="WenQuanYi Zen Hei"/>
        <family val="2"/>
      </rPr>
      <t xml:space="preserve">構図指定なし（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つと仮置き）</t>
    </r>
  </si>
  <si>
    <r>
      <rPr>
        <sz val="10"/>
        <rFont val="WenQuanYi Zen Hei"/>
        <family val="2"/>
      </rPr>
      <t xml:space="preserve">構図数：仮の値（指定なし）／枠：資料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／尺：仮の値</t>
    </r>
  </si>
  <si>
    <t xml:space="preserve">17</t>
  </si>
  <si>
    <t xml:space="preserve">同・外（空）</t>
  </si>
  <si>
    <t xml:space="preserve">夕方（夕焼け）</t>
  </si>
  <si>
    <t xml:space="preserve">廊下から校庭側の空</t>
  </si>
  <si>
    <t xml:space="preserve">20</t>
  </si>
  <si>
    <t xml:space="preserve">D4a</t>
  </si>
  <si>
    <t xml:space="preserve">田舎の通り</t>
  </si>
  <si>
    <r>
      <rPr>
        <sz val="11"/>
        <color theme="1"/>
        <rFont val="WenQuanYi Zen Hei"/>
        <family val="2"/>
      </rPr>
      <t xml:space="preserve">構図指定なし（</t>
    </r>
    <r>
      <rPr>
        <sz val="11"/>
        <color theme="1"/>
        <rFont val="Arial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つと仮置き）</t>
    </r>
  </si>
  <si>
    <t xml:space="preserve">ランドセル・リード・犬（パンチ）</t>
  </si>
  <si>
    <r>
      <rPr>
        <sz val="11"/>
        <color theme="1"/>
        <rFont val="WenQuanYi Zen Hei"/>
        <family val="2"/>
      </rPr>
      <t xml:space="preserve">構図</t>
    </r>
    <r>
      <rPr>
        <sz val="11"/>
        <color theme="1"/>
        <rFont val="Arial"/>
        <family val="0"/>
        <charset val="1"/>
      </rPr>
      <t xml:space="preserve">A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M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Arial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：カメラが下がりながら歩き芝居。犬の芝居（</t>
    </r>
    <r>
      <rPr>
        <sz val="11"/>
        <color theme="1"/>
        <rFont val="Arial"/>
        <family val="0"/>
        <charset val="1"/>
      </rPr>
      <t xml:space="preserve">C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E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WenQuanYi Zen Hei"/>
        <family val="2"/>
      </rPr>
      <t xml:space="preserve">）</t>
    </r>
  </si>
  <si>
    <t xml:space="preserve">21</t>
  </si>
  <si>
    <t xml:space="preserve">通り（脚本）／防波堤（現行表）</t>
  </si>
  <si>
    <r>
      <rPr>
        <sz val="11"/>
        <color theme="1"/>
        <rFont val="WenQuanYi Zen Hei"/>
        <family val="2"/>
      </rPr>
      <t xml:space="preserve">構図指定なし（</t>
    </r>
    <r>
      <rPr>
        <sz val="11"/>
        <color theme="1"/>
        <rFont val="Arial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つと仮置き）。歩きながらの会話</t>
    </r>
  </si>
  <si>
    <t xml:space="preserve">22</t>
  </si>
  <si>
    <t xml:space="preserve">海（砂浜）</t>
  </si>
  <si>
    <t xml:space="preserve">全力で走る。砂浜の足跡を消すリセット。波音は別録り</t>
  </si>
  <si>
    <t xml:space="preserve">1</t>
  </si>
  <si>
    <t xml:space="preserve">D4b</t>
  </si>
  <si>
    <t xml:space="preserve">砂浜（脚本）／防波堤（現行表）</t>
  </si>
  <si>
    <r>
      <rPr>
        <sz val="11"/>
        <color theme="1"/>
        <rFont val="Arial"/>
        <family val="0"/>
        <charset val="1"/>
      </rPr>
      <t xml:space="preserve">18mm</t>
    </r>
    <r>
      <rPr>
        <sz val="11"/>
        <color theme="1"/>
        <rFont val="WenQuanYi Zen Hei"/>
        <family val="2"/>
      </rPr>
      <t xml:space="preserve">広角で背中に寄っていく。オレンジ色の夕焼け</t>
    </r>
  </si>
  <si>
    <t xml:space="preserve">合計</t>
  </si>
  <si>
    <r>
      <rPr>
        <b val="true"/>
        <sz val="12"/>
        <rFont val="WenQuanYi Zen Hei"/>
        <family val="2"/>
      </rPr>
      <t xml:space="preserve">改訂スケジュール案（決定事項＝資料</t>
    </r>
    <r>
      <rPr>
        <b val="true"/>
        <sz val="12"/>
        <rFont val="Arial"/>
        <family val="0"/>
        <charset val="1"/>
      </rPr>
      <t xml:space="preserve">7</t>
    </r>
    <r>
      <rPr>
        <b val="true"/>
        <sz val="12"/>
        <rFont val="WenQuanYi Zen Hei"/>
        <family val="2"/>
      </rPr>
      <t xml:space="preserve">を守ったまま組み直した案）</t>
    </r>
  </si>
  <si>
    <r>
      <rPr>
        <sz val="10"/>
        <color rgb="FF555555"/>
        <rFont val="WenQuanYi Zen Hei"/>
        <family val="2"/>
      </rPr>
      <t xml:space="preserve">時間はすべて計算式。開始＝</t>
    </r>
    <r>
      <rPr>
        <sz val="10"/>
        <color rgb="FF555555"/>
        <rFont val="Arial"/>
        <family val="0"/>
        <charset val="1"/>
      </rPr>
      <t xml:space="preserve">MAX(</t>
    </r>
    <r>
      <rPr>
        <sz val="10"/>
        <color rgb="FF555555"/>
        <rFont val="WenQuanYi Zen Hei"/>
        <family val="2"/>
      </rPr>
      <t xml:space="preserve">前の終了</t>
    </r>
    <r>
      <rPr>
        <sz val="10"/>
        <color rgb="FF555555"/>
        <rFont val="Arial"/>
        <family val="0"/>
        <charset val="1"/>
      </rPr>
      <t xml:space="preserve">, </t>
    </r>
    <r>
      <rPr>
        <sz val="10"/>
        <color rgb="FF555555"/>
        <rFont val="WenQuanYi Zen Hei"/>
        <family val="2"/>
      </rPr>
      <t xml:space="preserve">アンカー時刻</t>
    </r>
    <r>
      <rPr>
        <sz val="10"/>
        <color rgb="FF555555"/>
        <rFont val="Arial"/>
        <family val="0"/>
        <charset val="1"/>
      </rPr>
      <t xml:space="preserve">)</t>
    </r>
    <r>
      <rPr>
        <sz val="10"/>
        <color rgb="FF555555"/>
        <rFont val="WenQuanYi Zen Hei"/>
        <family val="2"/>
      </rPr>
      <t xml:space="preserve">。アンカー＝エキストラの開始・夕方の光など、動かせない時刻。標準と余裕の</t>
    </r>
    <r>
      <rPr>
        <sz val="10"/>
        <color rgb="FF555555"/>
        <rFont val="Arial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通りで終了を予測。</t>
    </r>
  </si>
  <si>
    <t xml:space="preserve">日</t>
  </si>
  <si>
    <t xml:space="preserve">内容</t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</si>
  <si>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</si>
  <si>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</si>
  <si>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アンカー</t>
  </si>
  <si>
    <r>
      <rPr>
        <b val="true"/>
        <sz val="10"/>
        <rFont val="WenQuanYi Zen Hei"/>
        <family val="2"/>
      </rPr>
      <t xml:space="preserve">開始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</si>
  <si>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終了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</si>
  <si>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開始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</si>
  <si>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終了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</si>
  <si>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S16</t>
    </r>
    <r>
      <rPr>
        <b val="true"/>
        <sz val="10"/>
        <rFont val="WenQuanYi Zen Hei"/>
        <family val="2"/>
      </rPr>
      <t xml:space="preserve">（リョウ・ソウタ）を</t>
    </r>
    <r>
      <rPr>
        <b val="true"/>
        <sz val="10"/>
        <rFont val="Arial"/>
        <family val="0"/>
        <charset val="1"/>
      </rPr>
      <t xml:space="preserve">10/31</t>
    </r>
    <r>
      <rPr>
        <b val="true"/>
        <sz val="10"/>
        <rFont val="WenQuanYi Zen Hei"/>
        <family val="2"/>
      </rPr>
      <t xml:space="preserve">に移す（変更提案）：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＝移す／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＝移さない</t>
    </r>
  </si>
  <si>
    <t xml:space="preserve">DAY1 10/31</t>
  </si>
  <si>
    <t xml:space="preserve">固定</t>
  </si>
  <si>
    <t xml:space="preserve">キャスト・スタンバイ集合</t>
  </si>
  <si>
    <r>
      <rPr>
        <sz val="10"/>
        <rFont val="Arial"/>
        <family val="0"/>
        <charset val="1"/>
      </rPr>
      <t xml:space="preserve">S3</t>
    </r>
    <r>
      <rPr>
        <sz val="10"/>
        <rFont val="WenQuanYi Zen Hei"/>
        <family val="2"/>
      </rPr>
      <t xml:space="preserve">の設営はこの間に済ませる（先行準備）</t>
    </r>
  </si>
  <si>
    <t xml:space="preserve">録音・準備</t>
  </si>
  <si>
    <t xml:space="preserve">ピンマイク装着（リョウ・チハル＋笹原）</t>
  </si>
  <si>
    <t xml:space="preserve">子どもは一日つけたまま。ポリエステル以外の服・強いテープ</t>
  </si>
  <si>
    <t xml:space="preserve">シーン</t>
  </si>
  <si>
    <t xml:space="preserve">S3</t>
  </si>
  <si>
    <r>
      <rPr>
        <sz val="10"/>
        <rFont val="WenQuanYi Zen Hei"/>
        <family val="2"/>
      </rPr>
      <t xml:space="preserve">エキストラ</t>
    </r>
    <r>
      <rPr>
        <sz val="10"/>
        <rFont val="Arial"/>
        <family val="0"/>
        <charset val="1"/>
      </rPr>
      <t xml:space="preserve">11:00</t>
    </r>
    <r>
      <rPr>
        <sz val="10"/>
        <rFont val="WenQuanYi Zen Hei"/>
        <family val="2"/>
      </rPr>
      <t xml:space="preserve">集合</t>
    </r>
  </si>
  <si>
    <t xml:space="preserve">移動</t>
  </si>
  <si>
    <r>
      <rPr>
        <sz val="10"/>
        <rFont val="Arial"/>
        <family val="0"/>
        <charset val="1"/>
      </rPr>
      <t xml:space="preserve">S3→S4</t>
    </r>
    <r>
      <rPr>
        <sz val="10"/>
        <rFont val="WenQuanYi Zen Hei"/>
        <family val="2"/>
      </rPr>
      <t xml:space="preserve">（校舎↔屋外）</t>
    </r>
  </si>
  <si>
    <t xml:space="preserve">S4</t>
  </si>
  <si>
    <t xml:space="preserve">昼食</t>
  </si>
  <si>
    <t xml:space="preserve">S16A</t>
  </si>
  <si>
    <r>
      <rPr>
        <sz val="10"/>
        <rFont val="WenQuanYi Zen Hei"/>
        <family val="2"/>
      </rPr>
      <t xml:space="preserve">この間にソウタのピンマイク装着（録音部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人）</t>
    </r>
  </si>
  <si>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（リョウ・ソウタ）※変更提案：</t>
    </r>
    <r>
      <rPr>
        <sz val="10"/>
        <rFont val="Arial"/>
        <family val="0"/>
        <charset val="1"/>
      </rPr>
      <t xml:space="preserve">M5=1</t>
    </r>
    <r>
      <rPr>
        <sz val="10"/>
        <rFont val="WenQuanYi Zen Hei"/>
        <family val="2"/>
      </rPr>
      <t xml:space="preserve">のときだけ</t>
    </r>
  </si>
  <si>
    <t xml:space="preserve">移す場合：エキストラが背景に入り、脚本の「先にリョウ・ソウタ」の順番になる</t>
  </si>
  <si>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の背景素材（</t>
    </r>
    <r>
      <rPr>
        <sz val="10"/>
        <rFont val="Arial"/>
        <family val="0"/>
        <charset val="1"/>
      </rPr>
      <t xml:space="preserve">S16 B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のカメラ位置から、エキストラが遊ぶ画）</t>
    </r>
  </si>
  <si>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11/3</t>
    </r>
    <r>
      <rPr>
        <sz val="10"/>
        <rFont val="WenQuanYi Zen Hei"/>
        <family val="2"/>
      </rPr>
      <t xml:space="preserve">に撮る場合の背景用（順番の影響を減らす）</t>
    </r>
  </si>
  <si>
    <t xml:space="preserve">ざわめき別撮り（校庭・廊下）</t>
  </si>
  <si>
    <t xml:space="preserve">予備枠から外して固定。経験の浅い人の日なので、録る項目を紙で渡す</t>
  </si>
  <si>
    <t xml:space="preserve">S13</t>
  </si>
  <si>
    <r>
      <rPr>
        <sz val="10"/>
        <rFont val="Arial"/>
        <family val="0"/>
        <charset val="1"/>
      </rPr>
      <t xml:space="preserve">S12</t>
    </r>
    <r>
      <rPr>
        <sz val="10"/>
        <rFont val="WenQuanYi Zen Hei"/>
        <family val="2"/>
      </rPr>
      <t xml:space="preserve">「男の子の声」別録り（</t>
    </r>
    <r>
      <rPr>
        <sz val="10"/>
        <rFont val="Arial"/>
        <family val="0"/>
        <charset val="1"/>
      </rPr>
      <t xml:space="preserve">S13</t>
    </r>
    <r>
      <rPr>
        <sz val="10"/>
        <rFont val="WenQuanYi Zen Hei"/>
        <family val="2"/>
      </rPr>
      <t xml:space="preserve">の男子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人）</t>
    </r>
  </si>
  <si>
    <t xml:space="preserve">解散準備（マイク外し・着替え）</t>
  </si>
  <si>
    <t xml:space="preserve">ルームトーン（校門・階段・校庭）は録音部がこの間に並行して録る</t>
  </si>
  <si>
    <t xml:space="preserve">DAY2 11/1</t>
  </si>
  <si>
    <r>
      <rPr>
        <sz val="10"/>
        <rFont val="Arial"/>
        <family val="0"/>
        <charset val="1"/>
      </rPr>
      <t xml:space="preserve">S5</t>
    </r>
    <r>
      <rPr>
        <sz val="10"/>
        <rFont val="WenQuanYi Zen Hei"/>
        <family val="2"/>
      </rPr>
      <t xml:space="preserve">の照明設営はこの間に済ませる（先行準備）</t>
    </r>
  </si>
  <si>
    <t xml:space="preserve">ピンマイク装着（リョウ・ソウタ＋野口）</t>
  </si>
  <si>
    <r>
      <rPr>
        <sz val="10"/>
        <rFont val="WenQuanYi Zen Hei"/>
        <family val="2"/>
      </rPr>
      <t xml:space="preserve">事前撮り：</t>
    </r>
    <r>
      <rPr>
        <sz val="10"/>
        <rFont val="Arial"/>
        <family val="0"/>
        <charset val="1"/>
      </rPr>
      <t xml:space="preserve">S5 D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H</t>
    </r>
    <r>
      <rPr>
        <sz val="10"/>
        <rFont val="WenQuanYi Zen Hei"/>
        <family val="2"/>
      </rPr>
      <t xml:space="preserve">（野口の寄り、エキストラなし）</t>
    </r>
  </si>
  <si>
    <r>
      <rPr>
        <sz val="10"/>
        <rFont val="Arial"/>
        <family val="0"/>
        <charset val="1"/>
      </rPr>
      <t xml:space="preserve">10:25</t>
    </r>
    <r>
      <rPr>
        <sz val="10"/>
        <rFont val="WenQuanYi Zen Hei"/>
        <family val="2"/>
      </rPr>
      <t xml:space="preserve">までに終わらなければ、残りは昼食後の</t>
    </r>
    <r>
      <rPr>
        <sz val="10"/>
        <rFont val="Arial"/>
        <family val="0"/>
        <charset val="1"/>
      </rPr>
      <t xml:space="preserve">S8</t>
    </r>
    <r>
      <rPr>
        <sz val="10"/>
        <rFont val="WenQuanYi Zen Hei"/>
        <family val="2"/>
      </rPr>
      <t xml:space="preserve">の前へ</t>
    </r>
  </si>
  <si>
    <t xml:space="preserve">S5</t>
  </si>
  <si>
    <r>
      <rPr>
        <sz val="10"/>
        <rFont val="WenQuanYi Zen Hei"/>
        <family val="2"/>
      </rPr>
      <t xml:space="preserve">エキストラ</t>
    </r>
    <r>
      <rPr>
        <sz val="10"/>
        <rFont val="Arial"/>
        <family val="0"/>
        <charset val="1"/>
      </rPr>
      <t xml:space="preserve">10:00</t>
    </r>
    <r>
      <rPr>
        <sz val="10"/>
        <rFont val="WenQuanYi Zen Hei"/>
        <family val="2"/>
      </rPr>
      <t xml:space="preserve">集合・</t>
    </r>
    <r>
      <rPr>
        <sz val="10"/>
        <rFont val="Arial"/>
        <family val="0"/>
        <charset val="1"/>
      </rPr>
      <t xml:space="preserve">10:30</t>
    </r>
    <r>
      <rPr>
        <sz val="10"/>
        <rFont val="WenQuanYi Zen Hei"/>
        <family val="2"/>
      </rPr>
      <t xml:space="preserve">開始（決定事項）。構図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はカット、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は「できれば」</t>
    </r>
  </si>
  <si>
    <r>
      <rPr>
        <sz val="10"/>
        <rFont val="Arial"/>
        <family val="0"/>
        <charset val="1"/>
      </rPr>
      <t xml:space="preserve">S5→S6</t>
    </r>
    <r>
      <rPr>
        <sz val="10"/>
        <rFont val="WenQuanYi Zen Hei"/>
        <family val="2"/>
      </rPr>
      <t xml:space="preserve">（その場転換）</t>
    </r>
  </si>
  <si>
    <t xml:space="preserve">S6</t>
  </si>
  <si>
    <t xml:space="preserve">ざわめき別撮り（教室の授業中・休み時間）</t>
  </si>
  <si>
    <r>
      <rPr>
        <sz val="10"/>
        <rFont val="WenQuanYi Zen Hei"/>
        <family val="2"/>
      </rPr>
      <t xml:space="preserve">録音体制が一番強い日（資料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S11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用も</t>
    </r>
  </si>
  <si>
    <t xml:space="preserve">S8</t>
  </si>
  <si>
    <r>
      <rPr>
        <sz val="10"/>
        <rFont val="Arial"/>
        <family val="0"/>
        <charset val="1"/>
      </rPr>
      <t xml:space="preserve">S8→S9</t>
    </r>
    <r>
      <rPr>
        <sz val="10"/>
        <rFont val="WenQuanYi Zen Hei"/>
        <family val="2"/>
      </rPr>
      <t xml:space="preserve">（同一フロア）</t>
    </r>
  </si>
  <si>
    <t xml:space="preserve">S9</t>
  </si>
  <si>
    <r>
      <rPr>
        <sz val="10"/>
        <rFont val="WenQuanYi Zen Hei"/>
        <family val="2"/>
      </rPr>
      <t xml:space="preserve">本番は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テイクまでと決めておく（大リセットのため）</t>
    </r>
  </si>
  <si>
    <r>
      <rPr>
        <sz val="10"/>
        <rFont val="Arial"/>
        <family val="0"/>
        <charset val="1"/>
      </rPr>
      <t xml:space="preserve">S9→S10</t>
    </r>
    <r>
      <rPr>
        <sz val="10"/>
        <rFont val="WenQuanYi Zen Hei"/>
        <family val="2"/>
      </rPr>
      <t xml:space="preserve">（同一フロア）</t>
    </r>
  </si>
  <si>
    <t xml:space="preserve">S10</t>
  </si>
  <si>
    <r>
      <rPr>
        <sz val="10"/>
        <rFont val="Arial"/>
        <family val="0"/>
        <charset val="1"/>
      </rPr>
      <t xml:space="preserve">S10</t>
    </r>
    <r>
      <rPr>
        <sz val="10"/>
        <rFont val="WenQuanYi Zen Hei"/>
        <family val="2"/>
      </rPr>
      <t xml:space="preserve">に出ない子は休憩</t>
    </r>
  </si>
  <si>
    <r>
      <rPr>
        <sz val="10"/>
        <rFont val="Arial"/>
        <family val="0"/>
        <charset val="1"/>
      </rPr>
      <t xml:space="preserve">S10→S18</t>
    </r>
    <r>
      <rPr>
        <sz val="10"/>
        <rFont val="WenQuanYi Zen Hei"/>
        <family val="2"/>
      </rPr>
      <t xml:space="preserve">（その場転換）</t>
    </r>
  </si>
  <si>
    <t xml:space="preserve">S18</t>
  </si>
  <si>
    <r>
      <rPr>
        <sz val="10"/>
        <rFont val="WenQuanYi Zen Hei"/>
        <family val="2"/>
      </rPr>
      <t xml:space="preserve">光待ちはしない（屋内）。必須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構図。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・末尾は</t>
    </r>
    <r>
      <rPr>
        <sz val="10"/>
        <rFont val="Arial"/>
        <family val="0"/>
        <charset val="1"/>
      </rPr>
      <t xml:space="preserve">16:15</t>
    </r>
    <r>
      <rPr>
        <sz val="10"/>
        <rFont val="WenQuanYi Zen Hei"/>
        <family val="2"/>
      </rPr>
      <t xml:space="preserve">に判断</t>
    </r>
  </si>
  <si>
    <r>
      <rPr>
        <sz val="10"/>
        <rFont val="WenQuanYi Zen Hei"/>
        <family val="2"/>
      </rPr>
      <t xml:space="preserve">ルームトーン（教室・廊下）は並行して録る。</t>
    </r>
    <r>
      <rPr>
        <sz val="10"/>
        <rFont val="Arial"/>
        <family val="0"/>
        <charset val="1"/>
      </rPr>
      <t xml:space="preserve">17:00</t>
    </r>
    <r>
      <rPr>
        <sz val="10"/>
        <rFont val="WenQuanYi Zen Hei"/>
        <family val="2"/>
      </rPr>
      <t xml:space="preserve">解散（決定事項）</t>
    </r>
  </si>
  <si>
    <t xml:space="preserve">DAY3 11/3</t>
  </si>
  <si>
    <t xml:space="preserve">ピンマイク装着（リョウ・チハル・ソウタ）</t>
  </si>
  <si>
    <r>
      <rPr>
        <sz val="10"/>
        <rFont val="WenQuanYi Zen Hei"/>
        <family val="2"/>
      </rPr>
      <t xml:space="preserve">笹原は台詞なしなので装着なし。ミオは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の間に装着</t>
    </r>
  </si>
  <si>
    <t xml:space="preserve">S15</t>
  </si>
  <si>
    <r>
      <rPr>
        <sz val="10"/>
        <rFont val="WenQuanYi Zen Hei"/>
        <family val="2"/>
      </rPr>
      <t xml:space="preserve">必須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構図だけ（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は時間があれば、</t>
    </r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はカット）</t>
    </r>
  </si>
  <si>
    <r>
      <rPr>
        <sz val="10"/>
        <rFont val="Arial"/>
        <family val="0"/>
        <charset val="1"/>
      </rPr>
      <t xml:space="preserve">S15→S12</t>
    </r>
    <r>
      <rPr>
        <sz val="10"/>
        <rFont val="WenQuanYi Zen Hei"/>
        <family val="2"/>
      </rPr>
      <t xml:space="preserve">（校舎↔体育館）</t>
    </r>
  </si>
  <si>
    <t xml:space="preserve">S12</t>
  </si>
  <si>
    <r>
      <rPr>
        <sz val="10"/>
        <rFont val="Arial"/>
        <family val="0"/>
        <charset val="1"/>
      </rPr>
      <t xml:space="preserve">S12→S14</t>
    </r>
    <r>
      <rPr>
        <sz val="10"/>
        <rFont val="WenQuanYi Zen Hei"/>
        <family val="2"/>
      </rPr>
      <t xml:space="preserve">（同一フロア）</t>
    </r>
  </si>
  <si>
    <t xml:space="preserve">S14</t>
  </si>
  <si>
    <t xml:space="preserve">ミオはここで解放</t>
  </si>
  <si>
    <t xml:space="preserve">無人の校内の効果音（足音・ドア・階段）とルームトーンは、全員が昼食で一か所にいる間に録音部が録る（録音部は昼食をずらす）</t>
  </si>
  <si>
    <t xml:space="preserve">S11</t>
  </si>
  <si>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と順番を入れ替え（屋内なので光の影響なし）</t>
    </r>
  </si>
  <si>
    <r>
      <rPr>
        <sz val="10"/>
        <rFont val="Arial"/>
        <family val="0"/>
        <charset val="1"/>
      </rPr>
      <t xml:space="preserve">S11→S16</t>
    </r>
    <r>
      <rPr>
        <sz val="10"/>
        <rFont val="WenQuanYi Zen Hei"/>
        <family val="2"/>
      </rPr>
      <t xml:space="preserve">（校舎↔屋外）</t>
    </r>
  </si>
  <si>
    <t xml:space="preserve">S16</t>
  </si>
  <si>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の</t>
    </r>
    <r>
      <rPr>
        <sz val="10"/>
        <rFont val="Arial"/>
        <family val="0"/>
        <charset val="1"/>
      </rPr>
      <t xml:space="preserve">S16A</t>
    </r>
    <r>
      <rPr>
        <sz val="10"/>
        <rFont val="WenQuanYi Zen Hei"/>
        <family val="2"/>
      </rPr>
      <t xml:space="preserve">（改訂では</t>
    </r>
    <r>
      <rPr>
        <sz val="10"/>
        <rFont val="Arial"/>
        <family val="0"/>
        <charset val="1"/>
      </rPr>
      <t xml:space="preserve">14:00</t>
    </r>
    <r>
      <rPr>
        <sz val="10"/>
        <rFont val="WenQuanYi Zen Hei"/>
        <family val="2"/>
      </rPr>
      <t xml:space="preserve">ごろ）と光の向きを合わせるため、昼食後に。</t>
    </r>
    <r>
      <rPr>
        <sz val="10"/>
        <rFont val="Arial"/>
        <family val="0"/>
        <charset val="1"/>
      </rPr>
      <t xml:space="preserve">M5=1</t>
    </r>
    <r>
      <rPr>
        <sz val="10"/>
        <rFont val="WenQuanYi Zen Hei"/>
        <family val="2"/>
      </rPr>
      <t xml:space="preserve">なら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分</t>
    </r>
  </si>
  <si>
    <r>
      <rPr>
        <sz val="10"/>
        <rFont val="Arial"/>
        <family val="0"/>
        <charset val="1"/>
      </rPr>
      <t xml:space="preserve">S16→S19</t>
    </r>
    <r>
      <rPr>
        <sz val="10"/>
        <rFont val="WenQuanYi Zen Hei"/>
        <family val="2"/>
      </rPr>
      <t xml:space="preserve">（校舎↔屋外）</t>
    </r>
  </si>
  <si>
    <t xml:space="preserve">S19</t>
  </si>
  <si>
    <r>
      <rPr>
        <sz val="10"/>
        <rFont val="WenQuanYi Zen Hei"/>
        <family val="2"/>
      </rPr>
      <t xml:space="preserve">夕方の光（資料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：日没</t>
    </r>
    <r>
      <rPr>
        <sz val="10"/>
        <rFont val="Arial"/>
        <family val="0"/>
        <charset val="1"/>
      </rPr>
      <t xml:space="preserve">17:11</t>
    </r>
    <r>
      <rPr>
        <sz val="10"/>
        <rFont val="WenQuanYi Zen Hei"/>
        <family val="2"/>
      </rPr>
      <t xml:space="preserve">）。子役の解散準備は、</t>
    </r>
    <r>
      <rPr>
        <sz val="10"/>
        <rFont val="Arial"/>
        <family val="0"/>
        <charset val="1"/>
      </rPr>
      <t xml:space="preserve">S17</t>
    </r>
    <r>
      <rPr>
        <sz val="10"/>
        <rFont val="WenQuanYi Zen Hei"/>
        <family val="2"/>
      </rPr>
      <t xml:space="preserve">の間に並行して</t>
    </r>
  </si>
  <si>
    <r>
      <rPr>
        <sz val="10"/>
        <rFont val="Arial"/>
        <family val="0"/>
        <charset val="1"/>
      </rPr>
      <t xml:space="preserve">S19→S17</t>
    </r>
    <r>
      <rPr>
        <sz val="10"/>
        <rFont val="WenQuanYi Zen Hei"/>
        <family val="2"/>
      </rPr>
      <t xml:space="preserve">（校舎内別フロア）</t>
    </r>
  </si>
  <si>
    <t xml:space="preserve">S17</t>
  </si>
  <si>
    <r>
      <rPr>
        <sz val="10"/>
        <rFont val="WenQuanYi Zen Hei"/>
        <family val="2"/>
      </rPr>
      <t xml:space="preserve">空だけ。日没の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分前から</t>
    </r>
  </si>
  <si>
    <t xml:space="preserve">DAY4 11/7</t>
  </si>
  <si>
    <r>
      <rPr>
        <sz val="10"/>
        <rFont val="WenQuanYi Zen Hei"/>
        <family val="2"/>
      </rPr>
      <t xml:space="preserve">集合</t>
    </r>
    <r>
      <rPr>
        <sz val="10"/>
        <rFont val="Arial"/>
        <family val="0"/>
        <charset val="1"/>
      </rPr>
      <t xml:space="preserve">9:30</t>
    </r>
    <r>
      <rPr>
        <sz val="10"/>
        <rFont val="WenQuanYi Zen Hei"/>
        <family val="2"/>
      </rPr>
      <t xml:space="preserve">（現行</t>
    </r>
    <r>
      <rPr>
        <sz val="10"/>
        <rFont val="Arial"/>
        <family val="0"/>
        <charset val="1"/>
      </rPr>
      <t xml:space="preserve">10:30</t>
    </r>
    <r>
      <rPr>
        <sz val="10"/>
        <rFont val="WenQuanYi Zen Hei"/>
        <family val="2"/>
      </rPr>
      <t xml:space="preserve">）。決定事項には入っていない時刻なので、出演者と要相談</t>
    </r>
  </si>
  <si>
    <t xml:space="preserve">ピンマイク装着（リョウ・チハル＋綾瀬）</t>
  </si>
  <si>
    <t xml:space="preserve">S2</t>
  </si>
  <si>
    <r>
      <rPr>
        <sz val="10"/>
        <rFont val="WenQuanYi Zen Hei"/>
        <family val="2"/>
      </rPr>
      <t xml:space="preserve">朝の場面を朝に。犬の構図を先に。構図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はカット、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J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は「できれば」</t>
    </r>
  </si>
  <si>
    <r>
      <rPr>
        <sz val="10"/>
        <rFont val="Arial"/>
        <family val="0"/>
        <charset val="1"/>
      </rPr>
      <t xml:space="preserve">S2→S20</t>
    </r>
    <r>
      <rPr>
        <sz val="10"/>
        <rFont val="WenQuanYi Zen Hei"/>
        <family val="2"/>
      </rPr>
      <t xml:space="preserve">（同一場所）</t>
    </r>
  </si>
  <si>
    <t xml:space="preserve">S20</t>
  </si>
  <si>
    <r>
      <rPr>
        <sz val="10"/>
        <rFont val="WenQuanYi Zen Hei"/>
        <family val="2"/>
      </rPr>
      <t xml:space="preserve">夕方の場面を午前に撮らないよう、</t>
    </r>
    <r>
      <rPr>
        <sz val="10"/>
        <rFont val="Arial"/>
        <family val="0"/>
        <charset val="1"/>
      </rPr>
      <t xml:space="preserve">S2</t>
    </r>
    <r>
      <rPr>
        <sz val="10"/>
        <rFont val="WenQuanYi Zen Hei"/>
        <family val="2"/>
      </rPr>
      <t xml:space="preserve">の後へ</t>
    </r>
  </si>
  <si>
    <r>
      <rPr>
        <sz val="10"/>
        <rFont val="Arial"/>
        <family val="0"/>
        <charset val="1"/>
      </rPr>
      <t xml:space="preserve">S20→S21</t>
    </r>
    <r>
      <rPr>
        <sz val="10"/>
        <rFont val="WenQuanYi Zen Hei"/>
        <family val="2"/>
      </rPr>
      <t xml:space="preserve">（車移動（長））</t>
    </r>
  </si>
  <si>
    <t xml:space="preserve">S21</t>
  </si>
  <si>
    <r>
      <rPr>
        <sz val="10"/>
        <rFont val="Arial"/>
        <family val="0"/>
        <charset val="1"/>
      </rPr>
      <t xml:space="preserve">S21→S22</t>
    </r>
    <r>
      <rPr>
        <sz val="10"/>
        <rFont val="WenQuanYi Zen Hei"/>
        <family val="2"/>
      </rPr>
      <t xml:space="preserve">（車移動（短））</t>
    </r>
  </si>
  <si>
    <t xml:space="preserve">S22</t>
  </si>
  <si>
    <r>
      <rPr>
        <sz val="10"/>
        <rFont val="WenQuanYi Zen Hei"/>
        <family val="2"/>
      </rPr>
      <t xml:space="preserve">波音の別録りは、録音部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</t>
    </r>
    <r>
      <rPr>
        <sz val="10"/>
        <rFont val="Arial"/>
        <family val="0"/>
        <charset val="1"/>
      </rPr>
      <t xml:space="preserve">S1</t>
    </r>
    <r>
      <rPr>
        <sz val="10"/>
        <rFont val="WenQuanYi Zen Hei"/>
        <family val="2"/>
      </rPr>
      <t xml:space="preserve">の空待ちの間に</t>
    </r>
  </si>
  <si>
    <r>
      <rPr>
        <sz val="10"/>
        <rFont val="Arial"/>
        <family val="0"/>
        <charset val="1"/>
      </rPr>
      <t xml:space="preserve">S22→S1</t>
    </r>
    <r>
      <rPr>
        <sz val="10"/>
        <rFont val="WenQuanYi Zen Hei"/>
        <family val="2"/>
      </rPr>
      <t xml:space="preserve">（浜の中で移動）</t>
    </r>
  </si>
  <si>
    <t xml:space="preserve">S1</t>
  </si>
  <si>
    <r>
      <rPr>
        <sz val="10"/>
        <rFont val="WenQuanYi Zen Hei"/>
        <family val="2"/>
      </rPr>
      <t xml:space="preserve">夕焼けの空（資料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：日没</t>
    </r>
    <r>
      <rPr>
        <sz val="10"/>
        <rFont val="Arial"/>
        <family val="0"/>
        <charset val="1"/>
      </rPr>
      <t xml:space="preserve">17:08</t>
    </r>
    <r>
      <rPr>
        <sz val="10"/>
        <rFont val="WenQuanYi Zen Hei"/>
        <family val="2"/>
      </rPr>
      <t xml:space="preserve">）</t>
    </r>
  </si>
  <si>
    <t xml:space="preserve">改訂案の日ごとの判定</t>
  </si>
  <si>
    <t xml:space="preserve">終了の上限</t>
  </si>
  <si>
    <r>
      <rPr>
        <b val="true"/>
        <sz val="10"/>
        <rFont val="WenQuanYi Zen Hei"/>
        <family val="2"/>
      </rPr>
      <t xml:space="preserve">上限までの余白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標準・分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</si>
  <si>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上限までの余白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余裕・分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</si>
  <si>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判定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</si>
  <si>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判定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)</t>
    </r>
  </si>
  <si>
    <t xml:space="preserve">上限の意味</t>
  </si>
  <si>
    <t xml:space="preserve">DAY1</t>
  </si>
  <si>
    <r>
      <rPr>
        <sz val="10"/>
        <rFont val="Arial"/>
        <family val="0"/>
        <charset val="1"/>
      </rPr>
      <t xml:space="preserve">17:00</t>
    </r>
    <r>
      <rPr>
        <sz val="10"/>
        <rFont val="WenQuanYi Zen Hei"/>
        <family val="2"/>
      </rPr>
      <t xml:space="preserve">解散（チラシ配布済み・決定事項）</t>
    </r>
  </si>
  <si>
    <t xml:space="preserve">DAY2</t>
  </si>
  <si>
    <t xml:space="preserve">DAY3</t>
  </si>
  <si>
    <r>
      <rPr>
        <sz val="10"/>
        <rFont val="Arial"/>
        <family val="0"/>
        <charset val="1"/>
      </rPr>
      <t xml:space="preserve">S17</t>
    </r>
    <r>
      <rPr>
        <sz val="10"/>
        <rFont val="WenQuanYi Zen Hei"/>
        <family val="2"/>
      </rPr>
      <t xml:space="preserve">の撮影は薄暮の終わり（資料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）まで</t>
    </r>
  </si>
  <si>
    <t xml:space="preserve">DAY4</t>
  </si>
  <si>
    <r>
      <rPr>
        <sz val="10"/>
        <rFont val="Arial"/>
        <family val="0"/>
        <charset val="1"/>
      </rPr>
      <t xml:space="preserve">S1</t>
    </r>
    <r>
      <rPr>
        <sz val="10"/>
        <rFont val="WenQuanYi Zen Hei"/>
        <family val="2"/>
      </rPr>
      <t xml:space="preserve">の撮影は薄暮の終わり（資料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）まで</t>
    </r>
  </si>
  <si>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DAY3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DAY4</t>
    </r>
    <r>
      <rPr>
        <sz val="11"/>
        <color theme="1"/>
        <rFont val="WenQuanYi Zen Hei"/>
        <family val="2"/>
      </rPr>
      <t xml:space="preserve">の「終了」は、最後の本番（</t>
    </r>
    <r>
      <rPr>
        <sz val="11"/>
        <color theme="1"/>
        <rFont val="Arial"/>
        <family val="0"/>
        <charset val="1"/>
      </rPr>
      <t xml:space="preserve">S17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S1</t>
    </r>
    <r>
      <rPr>
        <sz val="11"/>
        <color theme="1"/>
        <rFont val="WenQuanYi Zen Hei"/>
        <family val="2"/>
      </rPr>
      <t xml:space="preserve">）の終わり。子役の解散はその前（</t>
    </r>
    <r>
      <rPr>
        <sz val="11"/>
        <color theme="1"/>
        <rFont val="Arial"/>
        <family val="0"/>
        <charset val="1"/>
      </rPr>
      <t xml:space="preserve">DAY3</t>
    </r>
    <r>
      <rPr>
        <sz val="11"/>
        <color theme="1"/>
        <rFont val="WenQuanYi Zen Hei"/>
        <family val="2"/>
      </rPr>
      <t xml:space="preserve">は</t>
    </r>
    <r>
      <rPr>
        <sz val="11"/>
        <color theme="1"/>
        <rFont val="Arial"/>
        <family val="0"/>
        <charset val="1"/>
      </rPr>
      <t xml:space="preserve">S19</t>
    </r>
    <r>
      <rPr>
        <sz val="11"/>
        <color theme="1"/>
        <rFont val="WenQuanYi Zen Hei"/>
        <family val="2"/>
      </rPr>
      <t xml:space="preserve">の後、</t>
    </r>
    <r>
      <rPr>
        <sz val="11"/>
        <color theme="1"/>
        <rFont val="Arial"/>
        <family val="0"/>
        <charset val="1"/>
      </rPr>
      <t xml:space="preserve">DAY4</t>
    </r>
    <r>
      <rPr>
        <sz val="11"/>
        <color theme="1"/>
        <rFont val="WenQuanYi Zen Hei"/>
        <family val="2"/>
      </rPr>
      <t xml:space="preserve">は</t>
    </r>
    <r>
      <rPr>
        <sz val="11"/>
        <color theme="1"/>
        <rFont val="Arial"/>
        <family val="0"/>
        <charset val="1"/>
      </rPr>
      <t xml:space="preserve">S1</t>
    </r>
    <r>
      <rPr>
        <sz val="11"/>
        <color theme="1"/>
        <rFont val="WenQuanYi Zen Hei"/>
        <family val="2"/>
      </rPr>
      <t xml:space="preserve">の後）。</t>
    </r>
  </si>
  <si>
    <r>
      <rPr>
        <sz val="11"/>
        <color theme="1"/>
        <rFont val="WenQuanYi Zen Hei"/>
        <family val="2"/>
      </rPr>
      <t xml:space="preserve">・余裕の値で超過する日は、構図優先度の「できれば」を落とす（撮る範囲を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にする）と、どこまで戻るかを確認できます。</t>
    </r>
  </si>
  <si>
    <t xml:space="preserve">学校内・ロケ地間の移動と切り替え（分）</t>
  </si>
  <si>
    <r>
      <rPr>
        <sz val="10"/>
        <color rgb="FF555555"/>
        <rFont val="WenQuanYi Zen Hei"/>
        <family val="2"/>
      </rPr>
      <t xml:space="preserve">校舎の平面図・距離は未入手（資料</t>
    </r>
    <r>
      <rPr>
        <sz val="10"/>
        <color rgb="FF555555"/>
        <rFont val="Arial"/>
        <family val="0"/>
        <charset val="1"/>
      </rPr>
      <t xml:space="preserve">5</t>
    </r>
    <r>
      <rPr>
        <sz val="10"/>
        <color rgb="FF555555"/>
        <rFont val="WenQuanYi Zen Hei"/>
        <family val="2"/>
      </rPr>
      <t xml:space="preserve">）。仮の値。</t>
    </r>
    <r>
      <rPr>
        <sz val="10"/>
        <color rgb="FF555555"/>
        <rFont val="Arial"/>
        <family val="0"/>
        <charset val="1"/>
      </rPr>
      <t xml:space="preserve">10/29</t>
    </r>
    <r>
      <rPr>
        <sz val="10"/>
        <color rgb="FF555555"/>
        <rFont val="WenQuanYi Zen Hei"/>
        <family val="2"/>
      </rPr>
      <t xml:space="preserve">・</t>
    </r>
    <r>
      <rPr>
        <sz val="10"/>
        <color rgb="FF555555"/>
        <rFont val="Arial"/>
        <family val="0"/>
        <charset val="1"/>
      </rPr>
      <t xml:space="preserve">10/30</t>
    </r>
    <r>
      <rPr>
        <sz val="10"/>
        <color rgb="FF555555"/>
        <rFont val="WenQuanYi Zen Hei"/>
        <family val="2"/>
      </rPr>
      <t xml:space="preserve">のロケハンで上書きしてください。</t>
    </r>
  </si>
  <si>
    <t xml:space="preserve">移動の種類</t>
  </si>
  <si>
    <t xml:space="preserve">最長</t>
  </si>
  <si>
    <t xml:space="preserve">仮定の内容</t>
  </si>
  <si>
    <t xml:space="preserve">同一場所</t>
  </si>
  <si>
    <t xml:space="preserve">同じ場所で向きだけ変える</t>
  </si>
  <si>
    <t xml:space="preserve">その場転換</t>
  </si>
  <si>
    <t xml:space="preserve">同じ教室で時計・黒板・机・ランドセルを変える（時間経過）</t>
  </si>
  <si>
    <t xml:space="preserve">同一フロア</t>
  </si>
  <si>
    <t xml:space="preserve">機材を持って同じ階の隣の場所へ</t>
  </si>
  <si>
    <t xml:space="preserve">校舎内別フロア</t>
  </si>
  <si>
    <t xml:space="preserve">階段で機材を上げ下ろし</t>
  </si>
  <si>
    <t xml:space="preserve">校舎↔屋外</t>
  </si>
  <si>
    <t xml:space="preserve">校舎と校門・校庭の行き来（旧高田小は「まあまあ広い」）</t>
  </si>
  <si>
    <t xml:space="preserve">校舎↔体育館</t>
  </si>
  <si>
    <t xml:space="preserve">渡り廊下・靴の履き替えを含む</t>
  </si>
  <si>
    <t xml:space="preserve">車移動（長）</t>
  </si>
  <si>
    <t xml:space="preserve">一部資料</t>
  </si>
  <si>
    <r>
      <rPr>
        <sz val="10"/>
        <rFont val="WenQuanYi Zen Hei"/>
        <family val="2"/>
      </rPr>
      <t xml:space="preserve">通り→防波堤（現行表は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分）</t>
    </r>
  </si>
  <si>
    <t xml:space="preserve">車移動（短）</t>
  </si>
  <si>
    <r>
      <rPr>
        <sz val="10"/>
        <rFont val="WenQuanYi Zen Hei"/>
        <family val="2"/>
      </rPr>
      <t xml:space="preserve">防波堤→海（現行表は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分・準備込み）</t>
    </r>
  </si>
  <si>
    <t xml:space="preserve">浜の中で移動</t>
  </si>
  <si>
    <r>
      <rPr>
        <sz val="10"/>
        <rFont val="Arial"/>
        <family val="0"/>
        <charset val="1"/>
      </rPr>
      <t xml:space="preserve">S22</t>
    </r>
    <r>
      <rPr>
        <sz val="10"/>
        <rFont val="WenQuanYi Zen Hei"/>
        <family val="2"/>
      </rPr>
      <t xml:space="preserve">と</t>
    </r>
    <r>
      <rPr>
        <sz val="10"/>
        <rFont val="Arial"/>
        <family val="0"/>
        <charset val="1"/>
      </rPr>
      <t xml:space="preserve">S1</t>
    </r>
    <r>
      <rPr>
        <sz val="10"/>
        <rFont val="WenQuanYi Zen Hei"/>
        <family val="2"/>
      </rPr>
      <t xml:space="preserve">が同じ浜なら最短</t>
    </r>
    <r>
      <rPr>
        <sz val="10"/>
        <rFont val="Arial"/>
        <family val="0"/>
        <charset val="1"/>
      </rPr>
      <t xml:space="preserve">0</t>
    </r>
  </si>
  <si>
    <t xml:space="preserve">区間</t>
  </si>
  <si>
    <t xml:space="preserve">現行表で取っている時間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</si>
  <si>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校門 → </t>
    </r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階段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</si>
  <si>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階段 →（昼食）→ </t>
    </r>
    <r>
      <rPr>
        <sz val="10"/>
        <rFont val="Arial"/>
        <family val="0"/>
        <charset val="1"/>
      </rPr>
      <t xml:space="preserve">S16A </t>
    </r>
    <r>
      <rPr>
        <sz val="10"/>
        <rFont val="WenQuanYi Zen Hei"/>
        <family val="2"/>
      </rPr>
      <t xml:space="preserve">校庭</t>
    </r>
  </si>
  <si>
    <r>
      <rPr>
        <sz val="10"/>
        <rFont val="Arial"/>
        <family val="0"/>
        <charset val="1"/>
      </rPr>
      <t xml:space="preserve">S16A → S13 </t>
    </r>
    <r>
      <rPr>
        <sz val="10"/>
        <rFont val="WenQuanYi Zen Hei"/>
        <family val="2"/>
      </rPr>
      <t xml:space="preserve">同じ校庭</t>
    </r>
  </si>
  <si>
    <r>
      <rPr>
        <sz val="10"/>
        <rFont val="Arial"/>
        <family val="0"/>
        <charset val="1"/>
      </rPr>
      <t xml:space="preserve">S5 → S6 </t>
    </r>
    <r>
      <rPr>
        <sz val="10"/>
        <rFont val="WenQuanYi Zen Hei"/>
        <family val="2"/>
      </rPr>
      <t xml:space="preserve">時計・黒板の変更</t>
    </r>
  </si>
  <si>
    <r>
      <rPr>
        <sz val="10"/>
        <rFont val="Arial"/>
        <family val="0"/>
        <charset val="1"/>
      </rPr>
      <t xml:space="preserve">S6 → S8 </t>
    </r>
    <r>
      <rPr>
        <sz val="10"/>
        <rFont val="WenQuanYi Zen Hei"/>
        <family val="2"/>
      </rPr>
      <t xml:space="preserve">時計・黒板の変更</t>
    </r>
  </si>
  <si>
    <r>
      <rPr>
        <sz val="10"/>
        <rFont val="Arial"/>
        <family val="0"/>
        <charset val="1"/>
      </rPr>
      <t xml:space="preserve">S8 </t>
    </r>
    <r>
      <rPr>
        <sz val="10"/>
        <rFont val="WenQuanYi Zen Hei"/>
        <family val="2"/>
      </rPr>
      <t xml:space="preserve">教室 → </t>
    </r>
    <r>
      <rPr>
        <sz val="10"/>
        <rFont val="Arial"/>
        <family val="0"/>
        <charset val="1"/>
      </rPr>
      <t xml:space="preserve">S9 </t>
    </r>
    <r>
      <rPr>
        <sz val="10"/>
        <rFont val="WenQuanYi Zen Hei"/>
        <family val="2"/>
      </rPr>
      <t xml:space="preserve">廊下</t>
    </r>
  </si>
  <si>
    <r>
      <rPr>
        <sz val="10"/>
        <rFont val="Arial"/>
        <family val="0"/>
        <charset val="1"/>
      </rPr>
      <t xml:space="preserve">S9 </t>
    </r>
    <r>
      <rPr>
        <sz val="10"/>
        <rFont val="WenQuanYi Zen Hei"/>
        <family val="2"/>
      </rPr>
      <t xml:space="preserve">廊下 → </t>
    </r>
    <r>
      <rPr>
        <sz val="10"/>
        <rFont val="Arial"/>
        <family val="0"/>
        <charset val="1"/>
      </rPr>
      <t xml:space="preserve">S10 </t>
    </r>
    <r>
      <rPr>
        <sz val="10"/>
        <rFont val="WenQuanYi Zen Hei"/>
        <family val="2"/>
      </rPr>
      <t xml:space="preserve">教室（机を散らかす）</t>
    </r>
  </si>
  <si>
    <r>
      <rPr>
        <sz val="10"/>
        <rFont val="Arial"/>
        <family val="0"/>
        <charset val="1"/>
      </rPr>
      <t xml:space="preserve">S10 → S18 </t>
    </r>
    <r>
      <rPr>
        <sz val="10"/>
        <rFont val="WenQuanYi Zen Hei"/>
        <family val="2"/>
      </rPr>
      <t xml:space="preserve">帰りの会（ランドセル・黒板）</t>
    </r>
  </si>
  <si>
    <r>
      <rPr>
        <sz val="10"/>
        <rFont val="Arial"/>
        <family val="0"/>
        <charset val="1"/>
      </rPr>
      <t xml:space="preserve">S15 </t>
    </r>
    <r>
      <rPr>
        <sz val="10"/>
        <rFont val="WenQuanYi Zen Hei"/>
        <family val="2"/>
      </rPr>
      <t xml:space="preserve">体育館 → </t>
    </r>
    <r>
      <rPr>
        <sz val="10"/>
        <rFont val="Arial"/>
        <family val="0"/>
        <charset val="1"/>
      </rPr>
      <t xml:space="preserve">S12 </t>
    </r>
    <r>
      <rPr>
        <sz val="10"/>
        <rFont val="WenQuanYi Zen Hei"/>
        <family val="2"/>
      </rPr>
      <t xml:space="preserve">一階廊下</t>
    </r>
  </si>
  <si>
    <r>
      <rPr>
        <sz val="10"/>
        <rFont val="Arial"/>
        <family val="0"/>
        <charset val="1"/>
      </rPr>
      <t xml:space="preserve">S12 → S14 </t>
    </r>
    <r>
      <rPr>
        <sz val="10"/>
        <rFont val="WenQuanYi Zen Hei"/>
        <family val="2"/>
      </rPr>
      <t xml:space="preserve">廊下</t>
    </r>
  </si>
  <si>
    <r>
      <rPr>
        <sz val="10"/>
        <rFont val="Arial"/>
        <family val="0"/>
        <charset val="1"/>
      </rPr>
      <t xml:space="preserve">S14 →</t>
    </r>
    <r>
      <rPr>
        <sz val="10"/>
        <rFont val="WenQuanYi Zen Hei"/>
        <family val="2"/>
      </rPr>
      <t xml:space="preserve">（昼食）→ </t>
    </r>
    <r>
      <rPr>
        <sz val="10"/>
        <rFont val="Arial"/>
        <family val="0"/>
        <charset val="1"/>
      </rPr>
      <t xml:space="preserve">S16 </t>
    </r>
    <r>
      <rPr>
        <sz val="10"/>
        <rFont val="WenQuanYi Zen Hei"/>
        <family val="2"/>
      </rPr>
      <t xml:space="preserve">校庭</t>
    </r>
  </si>
  <si>
    <r>
      <rPr>
        <sz val="10"/>
        <rFont val="Arial"/>
        <family val="0"/>
        <charset val="1"/>
      </rPr>
      <t xml:space="preserve">S16 </t>
    </r>
    <r>
      <rPr>
        <sz val="10"/>
        <rFont val="WenQuanYi Zen Hei"/>
        <family val="2"/>
      </rPr>
      <t xml:space="preserve">校庭 → </t>
    </r>
    <r>
      <rPr>
        <sz val="10"/>
        <rFont val="Arial"/>
        <family val="0"/>
        <charset val="1"/>
      </rPr>
      <t xml:space="preserve">S11 </t>
    </r>
    <r>
      <rPr>
        <sz val="10"/>
        <rFont val="WenQuanYi Zen Hei"/>
        <family val="2"/>
      </rPr>
      <t xml:space="preserve">廊下・階段（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階）</t>
    </r>
  </si>
  <si>
    <r>
      <rPr>
        <sz val="10"/>
        <rFont val="Arial"/>
        <family val="0"/>
        <charset val="1"/>
      </rPr>
      <t xml:space="preserve">S19 </t>
    </r>
    <r>
      <rPr>
        <sz val="10"/>
        <rFont val="WenQuanYi Zen Hei"/>
        <family val="2"/>
      </rPr>
      <t xml:space="preserve">下駄箱 → </t>
    </r>
    <r>
      <rPr>
        <sz val="10"/>
        <rFont val="Arial"/>
        <family val="0"/>
        <charset val="1"/>
      </rPr>
      <t xml:space="preserve">S17 </t>
    </r>
    <r>
      <rPr>
        <sz val="10"/>
        <rFont val="WenQuanYi Zen Hei"/>
        <family val="2"/>
      </rPr>
      <t xml:space="preserve">空（廊下から）</t>
    </r>
  </si>
  <si>
    <r>
      <rPr>
        <sz val="10"/>
        <rFont val="Arial"/>
        <family val="0"/>
        <charset val="1"/>
      </rPr>
      <t xml:space="preserve">S20 → S2 </t>
    </r>
    <r>
      <rPr>
        <sz val="10"/>
        <rFont val="WenQuanYi Zen Hei"/>
        <family val="2"/>
      </rPr>
      <t xml:space="preserve">同じ通り</t>
    </r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</si>
  <si>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通り → </t>
    </r>
    <r>
      <rPr>
        <sz val="10"/>
        <rFont val="Arial"/>
        <family val="0"/>
        <charset val="1"/>
      </rPr>
      <t xml:space="preserve">S21 </t>
    </r>
    <r>
      <rPr>
        <sz val="10"/>
        <rFont val="WenQuanYi Zen Hei"/>
        <family val="2"/>
      </rPr>
      <t xml:space="preserve">防波堤</t>
    </r>
  </si>
  <si>
    <r>
      <rPr>
        <sz val="10"/>
        <rFont val="Arial"/>
        <family val="0"/>
        <charset val="1"/>
      </rPr>
      <t xml:space="preserve">S21 </t>
    </r>
    <r>
      <rPr>
        <sz val="10"/>
        <rFont val="WenQuanYi Zen Hei"/>
        <family val="2"/>
      </rPr>
      <t xml:space="preserve">防波堤 → </t>
    </r>
    <r>
      <rPr>
        <sz val="10"/>
        <rFont val="Arial"/>
        <family val="0"/>
        <charset val="1"/>
      </rPr>
      <t xml:space="preserve">S22 </t>
    </r>
    <r>
      <rPr>
        <sz val="10"/>
        <rFont val="WenQuanYi Zen Hei"/>
        <family val="2"/>
      </rPr>
      <t xml:space="preserve">海</t>
    </r>
  </si>
  <si>
    <r>
      <rPr>
        <sz val="10"/>
        <rFont val="Arial"/>
        <family val="0"/>
        <charset val="1"/>
      </rPr>
      <t xml:space="preserve">S22 </t>
    </r>
    <r>
      <rPr>
        <sz val="10"/>
        <rFont val="WenQuanYi Zen Hei"/>
        <family val="2"/>
      </rPr>
      <t xml:space="preserve">海 → </t>
    </r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防波堤／砂浜</t>
    </r>
  </si>
  <si>
    <r>
      <rPr>
        <b val="true"/>
        <sz val="12"/>
        <rFont val="WenQuanYi Zen Hei"/>
        <family val="2"/>
      </rPr>
      <t xml:space="preserve">ロケハン（</t>
    </r>
    <r>
      <rPr>
        <b val="true"/>
        <sz val="12"/>
        <rFont val="Arial"/>
        <family val="0"/>
        <charset val="1"/>
      </rPr>
      <t xml:space="preserve">10/29</t>
    </r>
    <r>
      <rPr>
        <b val="true"/>
        <sz val="12"/>
        <rFont val="WenQuanYi Zen Hei"/>
        <family val="2"/>
      </rPr>
      <t xml:space="preserve">・</t>
    </r>
    <r>
      <rPr>
        <b val="true"/>
        <sz val="12"/>
        <rFont val="Arial"/>
        <family val="0"/>
        <charset val="1"/>
      </rPr>
      <t xml:space="preserve">10/30</t>
    </r>
    <r>
      <rPr>
        <b val="true"/>
        <sz val="12"/>
        <rFont val="WenQuanYi Zen Hei"/>
        <family val="2"/>
      </rPr>
      <t xml:space="preserve">）で測る項目</t>
    </r>
  </si>
  <si>
    <r>
      <rPr>
        <sz val="10"/>
        <rFont val="WenQuanYi Zen Hei"/>
        <family val="2"/>
      </rPr>
      <t xml:space="preserve">校門→階段→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階教室の歩く時間（機材あり・台車あり）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</si>
  <si>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階教室→廊下→階段（</t>
    </r>
    <r>
      <rPr>
        <sz val="10"/>
        <rFont val="Arial"/>
        <family val="0"/>
        <charset val="1"/>
      </rPr>
      <t xml:space="preserve">S11</t>
    </r>
    <r>
      <rPr>
        <sz val="10"/>
        <rFont val="WenQuanYi Zen Hei"/>
        <family val="2"/>
      </rPr>
      <t xml:space="preserve">の動線）の距離と、カメラが後ろに下がれる幅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</si>
  <si>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階廊下（図書室前・</t>
    </r>
    <r>
      <rPr>
        <sz val="10"/>
        <rFont val="Arial"/>
        <family val="0"/>
        <charset val="1"/>
      </rPr>
      <t xml:space="preserve">S12</t>
    </r>
    <r>
      <rPr>
        <sz val="10"/>
        <rFont val="WenQuanYi Zen Hei"/>
        <family val="2"/>
      </rPr>
      <t xml:space="preserve">）→体育館の距離、渡り廊下の有無、靴の履き替え場所</t>
    </r>
  </si>
  <si>
    <r>
      <rPr>
        <sz val="10"/>
        <rFont val="WenQuanYi Zen Hei"/>
        <family val="2"/>
      </rPr>
      <t xml:space="preserve">体育館の天井通路（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G</t>
    </r>
    <r>
      <rPr>
        <sz val="10"/>
        <rFont val="WenQuanYi Zen Hei"/>
        <family val="2"/>
      </rPr>
      <t xml:space="preserve">）に上がれるか、安全柵、上がるまでの時間</t>
    </r>
  </si>
  <si>
    <r>
      <rPr>
        <sz val="10"/>
        <rFont val="WenQuanYi Zen Hei"/>
        <family val="2"/>
      </rPr>
      <t xml:space="preserve">校舎→校庭（</t>
    </r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S13</t>
    </r>
    <r>
      <rPr>
        <sz val="10"/>
        <rFont val="WenQuanYi Zen Hei"/>
        <family val="2"/>
      </rPr>
      <t xml:space="preserve">）の距離、電源の取り方</t>
    </r>
  </si>
  <si>
    <r>
      <rPr>
        <sz val="10"/>
        <rFont val="WenQuanYi Zen Hei"/>
        <family val="2"/>
      </rPr>
      <t xml:space="preserve">校庭→下駄箱（</t>
    </r>
    <r>
      <rPr>
        <sz val="10"/>
        <rFont val="Arial"/>
        <family val="0"/>
        <charset val="1"/>
      </rPr>
      <t xml:space="preserve">S16→S19</t>
    </r>
    <r>
      <rPr>
        <sz val="10"/>
        <rFont val="WenQuanYi Zen Hei"/>
        <family val="2"/>
      </rPr>
      <t xml:space="preserve">）、廊下→下駄箱（</t>
    </r>
    <r>
      <rPr>
        <sz val="10"/>
        <rFont val="Arial"/>
        <family val="0"/>
        <charset val="1"/>
      </rPr>
      <t xml:space="preserve">S11→S19</t>
    </r>
    <r>
      <rPr>
        <sz val="10"/>
        <rFont val="WenQuanYi Zen Hei"/>
        <family val="2"/>
      </rPr>
      <t xml:space="preserve">）の距離</t>
    </r>
  </si>
  <si>
    <r>
      <rPr>
        <sz val="10"/>
        <rFont val="WenQuanYi Zen Hei"/>
        <family val="2"/>
      </rPr>
      <t xml:space="preserve">下駄箱（</t>
    </r>
    <r>
      <rPr>
        <sz val="10"/>
        <rFont val="Arial"/>
        <family val="0"/>
        <charset val="1"/>
      </rPr>
      <t xml:space="preserve">S19</t>
    </r>
    <r>
      <rPr>
        <sz val="10"/>
        <rFont val="WenQuanYi Zen Hei"/>
        <family val="2"/>
      </rPr>
      <t xml:space="preserve">）の向き（西日が入るか）と、夕方に外が見えるか</t>
    </r>
  </si>
  <si>
    <r>
      <rPr>
        <sz val="10"/>
        <rFont val="Arial"/>
        <family val="0"/>
        <charset val="1"/>
      </rPr>
      <t xml:space="preserve">S17</t>
    </r>
    <r>
      <rPr>
        <sz val="10"/>
        <rFont val="WenQuanYi Zen Hei"/>
        <family val="2"/>
      </rPr>
      <t xml:space="preserve">の空：廊下から見える空が、西〜南西を向いているか</t>
    </r>
  </si>
  <si>
    <t xml:space="preserve">教室・廊下・階段・体育館・下駄箱のルームトーンと、道路・換気扇・ボイラーの音</t>
  </si>
  <si>
    <t xml:space="preserve">教室の時計を動かせるか、黒板を使ってよいか</t>
  </si>
  <si>
    <t xml:space="preserve">機材置き場（ベース）から各場所までの距離、子ども用の控室・トイレ・保護者の待機場所</t>
  </si>
  <si>
    <r>
      <rPr>
        <sz val="10"/>
        <rFont val="WenQuanYi Zen Hei"/>
        <family val="2"/>
      </rPr>
      <t xml:space="preserve">エキストラの待機場所から教室・校庭までの移動時間（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人を連れて歩く時間）</t>
    </r>
  </si>
  <si>
    <r>
      <rPr>
        <sz val="10"/>
        <rFont val="WenQuanYi Zen Hei"/>
        <family val="2"/>
      </rPr>
      <t xml:space="preserve">出雲：通り（</t>
    </r>
    <r>
      <rPr>
        <sz val="10"/>
        <rFont val="Arial"/>
        <family val="0"/>
        <charset val="1"/>
      </rPr>
      <t xml:space="preserve">S2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S20</t>
    </r>
    <r>
      <rPr>
        <sz val="10"/>
        <rFont val="WenQuanYi Zen Hei"/>
        <family val="2"/>
      </rPr>
      <t xml:space="preserve">）の交通量と、犬の散歩ルートの安全</t>
    </r>
  </si>
  <si>
    <t xml:space="preserve">出雲：通り→防波堤→海の車移動時間、駐車場所から撮影場所までの歩き時間</t>
  </si>
  <si>
    <r>
      <rPr>
        <sz val="10"/>
        <rFont val="WenQuanYi Zen Hei"/>
        <family val="2"/>
      </rPr>
      <t xml:space="preserve">出雲：</t>
    </r>
    <r>
      <rPr>
        <sz val="10"/>
        <rFont val="Arial"/>
        <family val="0"/>
        <charset val="1"/>
      </rPr>
      <t xml:space="preserve">S1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S22</t>
    </r>
    <r>
      <rPr>
        <sz val="10"/>
        <rFont val="WenQuanYi Zen Hei"/>
        <family val="2"/>
      </rPr>
      <t xml:space="preserve">を同じ砂浜で撮れるか、</t>
    </r>
    <r>
      <rPr>
        <sz val="10"/>
        <rFont val="Arial"/>
        <family val="0"/>
        <charset val="1"/>
      </rPr>
      <t xml:space="preserve">S1</t>
    </r>
    <r>
      <rPr>
        <sz val="10"/>
        <rFont val="WenQuanYi Zen Hei"/>
        <family val="2"/>
      </rPr>
      <t xml:space="preserve">の位置から日没の方角（西南西）に海が見えるか</t>
    </r>
  </si>
  <si>
    <t xml:space="preserve">校舎の平面図の入手（奥出雲町財政課へ依頼）</t>
  </si>
  <si>
    <r>
      <rPr>
        <b val="true"/>
        <sz val="12"/>
        <rFont val="WenQuanYi Zen Hei"/>
        <family val="2"/>
      </rPr>
      <t xml:space="preserve">日没と夕方シーンの照合（資料</t>
    </r>
    <r>
      <rPr>
        <b val="true"/>
        <sz val="12"/>
        <rFont val="Arial"/>
        <family val="0"/>
        <charset val="1"/>
      </rPr>
      <t xml:space="preserve">2</t>
    </r>
    <r>
      <rPr>
        <b val="true"/>
        <sz val="12"/>
        <rFont val="WenQuanYi Zen Hei"/>
        <family val="2"/>
      </rPr>
      <t xml:space="preserve">の値・出雲基準）</t>
    </r>
  </si>
  <si>
    <t xml:space="preserve">場所</t>
  </si>
  <si>
    <t xml:space="preserve">日没</t>
  </si>
  <si>
    <t xml:space="preserve">薄暮の終わり</t>
  </si>
  <si>
    <t xml:space="preserve">奥出雲</t>
  </si>
  <si>
    <t xml:space="preserve">出雲（海）</t>
  </si>
  <si>
    <t xml:space="preserve">時間帯の窓</t>
  </si>
  <si>
    <r>
      <rPr>
        <b val="true"/>
        <sz val="10"/>
        <rFont val="WenQuanYi Zen Hei"/>
        <family val="2"/>
      </rPr>
      <t xml:space="preserve">日没からの開始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</si>
  <si>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日没からの終了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</si>
  <si>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意味</t>
  </si>
  <si>
    <t xml:space="preserve">夕方の光</t>
  </si>
  <si>
    <r>
      <rPr>
        <sz val="10"/>
        <rFont val="WenQuanYi Zen Hei"/>
        <family val="2"/>
      </rPr>
      <t xml:space="preserve">日が低く、オレンジがかった光（日没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分前〜日没）</t>
    </r>
  </si>
  <si>
    <t xml:space="preserve">夕焼けの空</t>
  </si>
  <si>
    <r>
      <rPr>
        <sz val="10"/>
        <rFont val="WenQuanYi Zen Hei"/>
        <family val="2"/>
      </rPr>
      <t xml:space="preserve">空がオレンジに染まる時間（日没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分前〜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分後）</t>
    </r>
  </si>
  <si>
    <t xml:space="preserve">窓の種類</t>
  </si>
  <si>
    <t xml:space="preserve">窓の開始</t>
  </si>
  <si>
    <t xml:space="preserve">窓の終了</t>
  </si>
  <si>
    <t xml:space="preserve">判定（現行）</t>
  </si>
  <si>
    <t xml:space="preserve">改訂の開始</t>
  </si>
  <si>
    <t xml:space="preserve">改訂の終了</t>
  </si>
  <si>
    <t xml:space="preserve">判定（改訂・標準）</t>
  </si>
  <si>
    <r>
      <rPr>
        <sz val="11"/>
        <color theme="1"/>
        <rFont val="WenQuanYi Zen Hei"/>
        <family val="2"/>
      </rPr>
      <t xml:space="preserve">※朝のシーン（</t>
    </r>
    <r>
      <rPr>
        <sz val="11"/>
        <color theme="1"/>
        <rFont val="Arial"/>
        <family val="0"/>
        <charset val="1"/>
      </rPr>
      <t xml:space="preserve">S3 11:30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S2</t>
    </r>
    <r>
      <rPr>
        <sz val="11"/>
        <color theme="1"/>
        <rFont val="WenQuanYi Zen Hei"/>
        <family val="2"/>
      </rPr>
      <t xml:space="preserve">）は太陽が高い時間です。改訂案では</t>
    </r>
    <r>
      <rPr>
        <sz val="11"/>
        <color theme="1"/>
        <rFont val="Arial"/>
        <family val="0"/>
        <charset val="1"/>
      </rPr>
      <t xml:space="preserve">S2</t>
    </r>
    <r>
      <rPr>
        <sz val="11"/>
        <color theme="1"/>
        <rFont val="WenQuanYi Zen Hei"/>
        <family val="2"/>
      </rPr>
      <t xml:space="preserve">を</t>
    </r>
    <r>
      <rPr>
        <sz val="11"/>
        <color theme="1"/>
        <rFont val="Arial"/>
        <family val="0"/>
        <charset val="1"/>
      </rPr>
      <t xml:space="preserve">10:00</t>
    </r>
    <r>
      <rPr>
        <sz val="11"/>
        <color theme="1"/>
        <rFont val="WenQuanYi Zen Hei"/>
        <family val="2"/>
      </rPr>
      <t xml:space="preserve">開始にして、少しでも朝の光に寄せています。</t>
    </r>
  </si>
  <si>
    <t xml:space="preserve">現行スケジュールのまま撮った場合（ブロックごと）</t>
  </si>
  <si>
    <r>
      <rPr>
        <sz val="10"/>
        <color rgb="FF555555"/>
        <rFont val="WenQuanYi Zen Hei"/>
        <family val="2"/>
      </rPr>
      <t xml:space="preserve">終了予測＝</t>
    </r>
    <r>
      <rPr>
        <sz val="10"/>
        <color rgb="FF555555"/>
        <rFont val="Arial"/>
        <family val="0"/>
        <charset val="1"/>
      </rPr>
      <t xml:space="preserve">MAX(</t>
    </r>
    <r>
      <rPr>
        <sz val="10"/>
        <color rgb="FF555555"/>
        <rFont val="WenQuanYi Zen Hei"/>
        <family val="2"/>
      </rPr>
      <t xml:space="preserve">ブロック開始</t>
    </r>
    <r>
      <rPr>
        <sz val="10"/>
        <color rgb="FF555555"/>
        <rFont val="Arial"/>
        <family val="0"/>
        <charset val="1"/>
      </rPr>
      <t xml:space="preserve">, </t>
    </r>
    <r>
      <rPr>
        <sz val="10"/>
        <color rgb="FF555555"/>
        <rFont val="WenQuanYi Zen Hei"/>
        <family val="2"/>
      </rPr>
      <t xml:space="preserve">前のブロックの終了予測</t>
    </r>
    <r>
      <rPr>
        <sz val="10"/>
        <color rgb="FF555555"/>
        <rFont val="Arial"/>
        <family val="0"/>
        <charset val="1"/>
      </rPr>
      <t xml:space="preserve">)</t>
    </r>
    <r>
      <rPr>
        <sz val="10"/>
        <color rgb="FF555555"/>
        <rFont val="WenQuanYi Zen Hei"/>
        <family val="2"/>
      </rPr>
      <t xml:space="preserve">＋昼食＋必要時間。必要時間は「全構図を撮る」標準・余裕。</t>
    </r>
  </si>
  <si>
    <t xml:space="preserve">開始</t>
  </si>
  <si>
    <r>
      <rPr>
        <b val="true"/>
        <sz val="10"/>
        <rFont val="WenQuanYi Zen Hei"/>
        <family val="2"/>
      </rPr>
      <t xml:space="preserve">昼食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</si>
  <si>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使える時間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</si>
  <si>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現行のシーン枠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</si>
  <si>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現行の移動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</si>
  <si>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現行の予備・待ち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</si>
  <si>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ピンマイク再確認の人数</t>
  </si>
  <si>
    <r>
      <rPr>
        <b val="true"/>
        <sz val="10"/>
        <rFont val="WenQuanYi Zen Hei"/>
        <family val="2"/>
      </rPr>
      <t xml:space="preserve">必要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最短</t>
    </r>
  </si>
  <si>
    <r>
      <rPr>
        <b val="true"/>
        <sz val="10"/>
        <rFont val="WenQuanYi Zen Hei"/>
        <family val="2"/>
      </rPr>
      <t xml:space="preserve">必要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標準</t>
    </r>
  </si>
  <si>
    <r>
      <rPr>
        <b val="true"/>
        <sz val="10"/>
        <rFont val="WenQuanYi Zen Hei"/>
        <family val="2"/>
      </rPr>
      <t xml:space="preserve">必要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余裕</t>
    </r>
  </si>
  <si>
    <r>
      <rPr>
        <b val="true"/>
        <sz val="10"/>
        <rFont val="WenQuanYi Zen Hei"/>
        <family val="2"/>
      </rPr>
      <t xml:space="preserve">余白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最短</t>
    </r>
  </si>
  <si>
    <r>
      <rPr>
        <b val="true"/>
        <sz val="10"/>
        <rFont val="WenQuanYi Zen Hei"/>
        <family val="2"/>
      </rPr>
      <t xml:space="preserve">余白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標準</t>
    </r>
  </si>
  <si>
    <r>
      <rPr>
        <b val="true"/>
        <sz val="10"/>
        <rFont val="WenQuanYi Zen Hei"/>
        <family val="2"/>
      </rPr>
      <t xml:space="preserve">余白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余裕</t>
    </r>
  </si>
  <si>
    <r>
      <rPr>
        <b val="true"/>
        <sz val="10"/>
        <rFont val="WenQuanYi Zen Hei"/>
        <family val="2"/>
      </rPr>
      <t xml:space="preserve">予備の消費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標準</t>
    </r>
  </si>
  <si>
    <r>
      <rPr>
        <b val="true"/>
        <sz val="10"/>
        <rFont val="WenQuanYi Zen Hei"/>
        <family val="2"/>
      </rPr>
      <t xml:space="preserve">予備の消費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余裕</t>
    </r>
  </si>
  <si>
    <r>
      <rPr>
        <b val="true"/>
        <sz val="10"/>
        <rFont val="WenQuanYi Zen Hei"/>
        <family val="2"/>
      </rPr>
      <t xml:space="preserve">終了予測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最短</t>
    </r>
  </si>
  <si>
    <r>
      <rPr>
        <b val="true"/>
        <sz val="10"/>
        <rFont val="WenQuanYi Zen Hei"/>
        <family val="2"/>
      </rPr>
      <t xml:space="preserve">終了予測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標準</t>
    </r>
  </si>
  <si>
    <r>
      <rPr>
        <b val="true"/>
        <sz val="10"/>
        <rFont val="WenQuanYi Zen Hei"/>
        <family val="2"/>
      </rPr>
      <t xml:space="preserve">終了予測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余裕</t>
    </r>
  </si>
  <si>
    <t xml:space="preserve">日ごとのまとめ</t>
  </si>
  <si>
    <t xml:space="preserve">子役・エキストラの拘束時間</t>
  </si>
  <si>
    <t xml:space="preserve">現行＝現行表どおり／改訂＝改訂スケジュール案（標準）。解放＝最後の出番の終了＋解散準備。実働＝拘束−昼食。</t>
  </si>
  <si>
    <t xml:space="preserve">人</t>
  </si>
  <si>
    <r>
      <rPr>
        <b val="true"/>
        <sz val="10"/>
        <rFont val="WenQuanYi Zen Hei"/>
        <family val="2"/>
      </rPr>
      <t xml:space="preserve">現行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集合</t>
    </r>
  </si>
  <si>
    <r>
      <rPr>
        <b val="true"/>
        <sz val="10"/>
        <rFont val="WenQuanYi Zen Hei"/>
        <family val="2"/>
      </rPr>
      <t xml:space="preserve">現行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最後の出番</t>
    </r>
  </si>
  <si>
    <r>
      <rPr>
        <b val="true"/>
        <sz val="10"/>
        <rFont val="WenQuanYi Zen Hei"/>
        <family val="2"/>
      </rPr>
      <t xml:space="preserve">現行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実働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</si>
  <si>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現行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判定</t>
    </r>
  </si>
  <si>
    <r>
      <rPr>
        <b val="true"/>
        <sz val="10"/>
        <rFont val="WenQuanYi Zen Hei"/>
        <family val="2"/>
      </rPr>
      <t xml:space="preserve">改訂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集合</t>
    </r>
  </si>
  <si>
    <r>
      <rPr>
        <b val="true"/>
        <sz val="10"/>
        <rFont val="WenQuanYi Zen Hei"/>
        <family val="2"/>
      </rPr>
      <t xml:space="preserve">改訂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最後の出番</t>
    </r>
  </si>
  <si>
    <r>
      <rPr>
        <b val="true"/>
        <sz val="10"/>
        <rFont val="WenQuanYi Zen Hei"/>
        <family val="2"/>
      </rPr>
      <t xml:space="preserve">改訂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実働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</si>
  <si>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改訂</t>
    </r>
    <r>
      <rPr>
        <b val="true"/>
        <sz val="10"/>
        <rFont val="Arial"/>
        <family val="0"/>
        <charset val="1"/>
      </rPr>
      <t xml:space="preserve">:</t>
    </r>
    <r>
      <rPr>
        <b val="true"/>
        <sz val="10"/>
        <rFont val="WenQuanYi Zen Hei"/>
        <family val="2"/>
      </rPr>
      <t xml:space="preserve">判定</t>
    </r>
  </si>
  <si>
    <t xml:space="preserve">リョウ</t>
  </si>
  <si>
    <r>
      <rPr>
        <sz val="10"/>
        <rFont val="Arial"/>
        <family val="0"/>
        <charset val="1"/>
      </rPr>
      <t xml:space="preserve">S3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S4</t>
    </r>
    <r>
      <rPr>
        <sz val="10"/>
        <rFont val="WenQuanYi Zen Hei"/>
        <family val="2"/>
      </rPr>
      <t xml:space="preserve">のみ。</t>
    </r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に移す場合は</t>
    </r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まで</t>
    </r>
  </si>
  <si>
    <t xml:space="preserve">チハル</t>
  </si>
  <si>
    <t xml:space="preserve">ソウタ</t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</si>
  <si>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は午後の</t>
    </r>
    <r>
      <rPr>
        <sz val="10"/>
        <rFont val="Arial"/>
        <family val="0"/>
        <charset val="1"/>
      </rPr>
      <t xml:space="preserve">S13</t>
    </r>
    <r>
      <rPr>
        <sz val="10"/>
        <rFont val="WenQuanYi Zen Hei"/>
        <family val="2"/>
      </rPr>
      <t xml:space="preserve">から」。</t>
    </r>
    <r>
      <rPr>
        <sz val="10"/>
        <rFont val="Arial"/>
        <family val="0"/>
        <charset val="1"/>
      </rPr>
      <t xml:space="preserve">13:30</t>
    </r>
    <r>
      <rPr>
        <sz val="10"/>
        <rFont val="WenQuanYi Zen Hei"/>
        <family val="2"/>
      </rPr>
      <t xml:space="preserve">集合で</t>
    </r>
    <r>
      <rPr>
        <sz val="10"/>
        <rFont val="Arial"/>
        <family val="0"/>
        <charset val="1"/>
      </rPr>
      <t xml:space="preserve">S16A</t>
    </r>
    <r>
      <rPr>
        <sz val="10"/>
        <rFont val="WenQuanYi Zen Hei"/>
        <family val="2"/>
      </rPr>
      <t xml:space="preserve">の間に装着</t>
    </r>
  </si>
  <si>
    <t xml:space="preserve">エキストラ②</t>
  </si>
  <si>
    <r>
      <rPr>
        <sz val="10"/>
        <rFont val="WenQuanYi Zen Hei"/>
        <family val="2"/>
      </rPr>
      <t xml:space="preserve">男子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人以外は、</t>
    </r>
    <r>
      <rPr>
        <sz val="10"/>
        <rFont val="Arial"/>
        <family val="0"/>
        <charset val="1"/>
      </rPr>
      <t xml:space="preserve">S16A</t>
    </r>
    <r>
      <rPr>
        <sz val="10"/>
        <rFont val="WenQuanYi Zen Hei"/>
        <family val="2"/>
      </rPr>
      <t xml:space="preserve">の後に解放してもよい</t>
    </r>
  </si>
  <si>
    <r>
      <rPr>
        <sz val="10"/>
        <rFont val="Arial"/>
        <family val="0"/>
        <charset val="1"/>
      </rPr>
      <t xml:space="preserve">S10</t>
    </r>
    <r>
      <rPr>
        <sz val="10"/>
        <rFont val="WenQuanYi Zen Hei"/>
        <family val="2"/>
      </rPr>
      <t xml:space="preserve">は出番なし</t>
    </r>
  </si>
  <si>
    <t xml:space="preserve">エキストラ①</t>
  </si>
  <si>
    <r>
      <rPr>
        <sz val="10"/>
        <rFont val="Arial"/>
        <family val="0"/>
        <charset val="1"/>
      </rPr>
      <t xml:space="preserve">S10</t>
    </r>
    <r>
      <rPr>
        <sz val="10"/>
        <rFont val="WenQuanYi Zen Hei"/>
        <family val="2"/>
      </rPr>
      <t xml:space="preserve">は女子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人だけ</t>
    </r>
  </si>
  <si>
    <t xml:space="preserve">一番重い日。午後の待ちを休憩に</t>
  </si>
  <si>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を昼食後にした分、待ちが増える。</t>
    </r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に移せば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で解放</t>
    </r>
  </si>
  <si>
    <t xml:space="preserve">ミオ</t>
  </si>
  <si>
    <r>
      <rPr>
        <sz val="10"/>
        <rFont val="WenQuanYi Zen Hei"/>
        <family val="2"/>
      </rPr>
      <t xml:space="preserve">出番は</t>
    </r>
    <r>
      <rPr>
        <sz val="10"/>
        <rFont val="Arial"/>
        <family val="0"/>
        <charset val="1"/>
      </rPr>
      <t xml:space="preserve">S12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S14</t>
    </r>
    <r>
      <rPr>
        <sz val="10"/>
        <rFont val="WenQuanYi Zen Hei"/>
        <family val="2"/>
      </rPr>
      <t xml:space="preserve">だけ。</t>
    </r>
    <r>
      <rPr>
        <sz val="10"/>
        <rFont val="Arial"/>
        <family val="0"/>
        <charset val="1"/>
      </rPr>
      <t xml:space="preserve">9:30</t>
    </r>
    <r>
      <rPr>
        <sz val="10"/>
        <rFont val="WenQuanYi Zen Hei"/>
        <family val="2"/>
      </rPr>
      <t xml:space="preserve">集合を提案</t>
    </r>
  </si>
  <si>
    <r>
      <rPr>
        <sz val="10"/>
        <rFont val="WenQuanYi Zen Hei"/>
        <family val="2"/>
      </rPr>
      <t xml:space="preserve">改訂は</t>
    </r>
    <r>
      <rPr>
        <sz val="10"/>
        <rFont val="Arial"/>
        <family val="0"/>
        <charset val="1"/>
      </rPr>
      <t xml:space="preserve">9:30</t>
    </r>
    <r>
      <rPr>
        <sz val="10"/>
        <rFont val="WenQuanYi Zen Hei"/>
        <family val="2"/>
      </rPr>
      <t xml:space="preserve">集合</t>
    </r>
  </si>
  <si>
    <r>
      <rPr>
        <b val="true"/>
        <sz val="12"/>
        <rFont val="WenQuanYi Zen Hei"/>
        <family val="2"/>
      </rPr>
      <t xml:space="preserve">感度分析：</t>
    </r>
    <r>
      <rPr>
        <b val="true"/>
        <sz val="12"/>
        <rFont val="Arial"/>
        <family val="0"/>
        <charset val="1"/>
      </rPr>
      <t xml:space="preserve">S11</t>
    </r>
    <r>
      <rPr>
        <b val="true"/>
        <sz val="12"/>
        <rFont val="WenQuanYi Zen Hei"/>
        <family val="2"/>
      </rPr>
      <t xml:space="preserve">・</t>
    </r>
    <r>
      <rPr>
        <b val="true"/>
        <sz val="12"/>
        <rFont val="Arial"/>
        <family val="0"/>
        <charset val="1"/>
      </rPr>
      <t xml:space="preserve">S2</t>
    </r>
    <r>
      <rPr>
        <b val="true"/>
        <sz val="12"/>
        <rFont val="WenQuanYi Zen Hei"/>
        <family val="2"/>
      </rPr>
      <t xml:space="preserve">・</t>
    </r>
    <r>
      <rPr>
        <b val="true"/>
        <sz val="12"/>
        <rFont val="Arial"/>
        <family val="0"/>
        <charset val="1"/>
      </rPr>
      <t xml:space="preserve">S5</t>
    </r>
    <r>
      <rPr>
        <b val="true"/>
        <sz val="12"/>
        <rFont val="WenQuanYi Zen Hei"/>
        <family val="2"/>
      </rPr>
      <t xml:space="preserve">・</t>
    </r>
    <r>
      <rPr>
        <b val="true"/>
        <sz val="12"/>
        <rFont val="Arial"/>
        <family val="0"/>
        <charset val="1"/>
      </rPr>
      <t xml:space="preserve">S18</t>
    </r>
    <r>
      <rPr>
        <b val="true"/>
        <sz val="12"/>
        <rFont val="WenQuanYi Zen Hei"/>
        <family val="2"/>
      </rPr>
      <t xml:space="preserve">の見積もりが外れた場合</t>
    </r>
  </si>
  <si>
    <t xml:space="preserve">上：現行スケジュールのブロック余白／下：改訂スケジュールの終了時刻。倍率（青字）は変更できます。</t>
  </si>
  <si>
    <t xml:space="preserve">現行：倍率ごとのブロック余白（分）</t>
  </si>
  <si>
    <t xml:space="preserve">現行のブロック余白</t>
  </si>
  <si>
    <t xml:space="preserve">改訂：倍率ごとの日の終了（同じ日の後ろの全シーンが押される）</t>
  </si>
  <si>
    <r>
      <rPr>
        <b val="true"/>
        <sz val="10"/>
        <rFont val="WenQuanYi Zen Hei"/>
        <family val="2"/>
      </rPr>
      <t xml:space="preserve">改訂の標準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</si>
  <si>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日の上限</t>
  </si>
  <si>
    <r>
      <rPr>
        <b val="true"/>
        <sz val="10"/>
        <rFont val="WenQuanYi Zen Hei"/>
        <family val="2"/>
      </rPr>
      <t xml:space="preserve">改訂の終了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</si>
  <si>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・改訂の終了は、アンカー（夕方の光・日没）で吸収されない場合の単純な押し出しです。</t>
    </r>
    <r>
      <rPr>
        <sz val="11"/>
        <color theme="1"/>
        <rFont val="Arial"/>
        <family val="0"/>
        <charset val="1"/>
      </rPr>
      <t xml:space="preserve">DAY3</t>
    </r>
    <r>
      <rPr>
        <sz val="11"/>
        <color theme="1"/>
        <rFont val="WenQuanYi Zen Hei"/>
        <family val="2"/>
      </rPr>
      <t xml:space="preserve">の</t>
    </r>
    <r>
      <rPr>
        <sz val="11"/>
        <color theme="1"/>
        <rFont val="Arial"/>
        <family val="0"/>
        <charset val="1"/>
      </rPr>
      <t xml:space="preserve">S11</t>
    </r>
    <r>
      <rPr>
        <sz val="11"/>
        <color theme="1"/>
        <rFont val="WenQuanYi Zen Hei"/>
        <family val="2"/>
      </rPr>
      <t xml:space="preserve">は</t>
    </r>
    <r>
      <rPr>
        <sz val="11"/>
        <color theme="1"/>
        <rFont val="Arial"/>
        <family val="0"/>
        <charset val="1"/>
      </rPr>
      <t xml:space="preserve">S19</t>
    </r>
    <r>
      <rPr>
        <sz val="11"/>
        <color theme="1"/>
        <rFont val="WenQuanYi Zen Hei"/>
        <family val="2"/>
      </rPr>
      <t xml:space="preserve">の</t>
    </r>
    <r>
      <rPr>
        <sz val="11"/>
        <color theme="1"/>
        <rFont val="Arial"/>
        <family val="0"/>
        <charset val="1"/>
      </rPr>
      <t xml:space="preserve">15:15</t>
    </r>
    <r>
      <rPr>
        <sz val="11"/>
        <color theme="1"/>
        <rFont val="WenQuanYi Zen Hei"/>
        <family val="2"/>
      </rPr>
      <t xml:space="preserve">アンカーの前に余白があるので、その分は吸収されます。</t>
    </r>
  </si>
  <si>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DAY2</t>
    </r>
    <r>
      <rPr>
        <sz val="11"/>
        <color theme="1"/>
        <rFont val="WenQuanYi Zen Hei"/>
        <family val="2"/>
      </rPr>
      <t xml:space="preserve">）：一日の最初のシーン。押すと</t>
    </r>
    <r>
      <rPr>
        <sz val="11"/>
        <color theme="1"/>
        <rFont val="Arial"/>
        <family val="0"/>
        <charset val="1"/>
      </rPr>
      <t xml:space="preserve">17:00</t>
    </r>
    <r>
      <rPr>
        <sz val="11"/>
        <color theme="1"/>
        <rFont val="WenQuanYi Zen Hei"/>
        <family val="2"/>
      </rPr>
      <t xml:space="preserve">の解散に直結します。</t>
    </r>
    <r>
      <rPr>
        <sz val="11"/>
        <color theme="1"/>
        <rFont val="Arial"/>
        <family val="0"/>
        <charset val="1"/>
      </rPr>
      <t xml:space="preserve">11:50</t>
    </r>
    <r>
      <rPr>
        <sz val="11"/>
        <color theme="1"/>
        <rFont val="WenQuanYi Zen Hei"/>
        <family val="2"/>
      </rPr>
      <t xml:space="preserve">の時点で構図</t>
    </r>
    <r>
      <rPr>
        <sz val="11"/>
        <color theme="1"/>
        <rFont val="Arial"/>
        <family val="0"/>
        <charset val="1"/>
      </rPr>
      <t xml:space="preserve">J</t>
    </r>
    <r>
      <rPr>
        <sz val="11"/>
        <color theme="1"/>
        <rFont val="WenQuanYi Zen Hei"/>
        <family val="2"/>
      </rPr>
      <t xml:space="preserve">が終わっていなければ、</t>
    </r>
    <r>
      <rPr>
        <sz val="11"/>
        <color theme="1"/>
        <rFont val="Arial"/>
        <family val="0"/>
        <charset val="1"/>
      </rPr>
      <t xml:space="preserve">I</t>
    </r>
    <r>
      <rPr>
        <sz val="11"/>
        <color theme="1"/>
        <rFont val="WenQuanYi Zen Hei"/>
        <family val="2"/>
      </rPr>
      <t xml:space="preserve">を落とす判断を。</t>
    </r>
  </si>
  <si>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S18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DAY2</t>
    </r>
    <r>
      <rPr>
        <sz val="11"/>
        <color theme="1"/>
        <rFont val="WenQuanYi Zen Hei"/>
        <family val="2"/>
      </rPr>
      <t xml:space="preserve">）：一日の最後のシーン。押した分がそのまま</t>
    </r>
    <r>
      <rPr>
        <sz val="11"/>
        <color theme="1"/>
        <rFont val="Arial"/>
        <family val="0"/>
        <charset val="1"/>
      </rPr>
      <t xml:space="preserve">17:00</t>
    </r>
    <r>
      <rPr>
        <sz val="11"/>
        <color theme="1"/>
        <rFont val="WenQuanYi Zen Hei"/>
        <family val="2"/>
      </rPr>
      <t xml:space="preserve">に食い込みます。</t>
    </r>
    <r>
      <rPr>
        <sz val="11"/>
        <color theme="1"/>
        <rFont val="Arial"/>
        <family val="0"/>
        <charset val="1"/>
      </rPr>
      <t xml:space="preserve">16:15</t>
    </r>
    <r>
      <rPr>
        <sz val="11"/>
        <color theme="1"/>
        <rFont val="WenQuanYi Zen Hei"/>
        <family val="2"/>
      </rPr>
      <t xml:space="preserve">の時点で</t>
    </r>
    <r>
      <rPr>
        <sz val="11"/>
        <color theme="1"/>
        <rFont val="Arial"/>
        <family val="0"/>
        <charset val="1"/>
      </rPr>
      <t xml:space="preserve">E</t>
    </r>
    <r>
      <rPr>
        <sz val="11"/>
        <color theme="1"/>
        <rFont val="WenQuanYi Zen Hei"/>
        <family val="2"/>
      </rPr>
      <t xml:space="preserve">に入れていなければ、</t>
    </r>
    <r>
      <rPr>
        <sz val="11"/>
        <color theme="1"/>
        <rFont val="Arial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と末尾を落とす判断を。</t>
    </r>
  </si>
  <si>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DAY4</t>
    </r>
    <r>
      <rPr>
        <sz val="11"/>
        <color theme="1"/>
        <rFont val="WenQuanYi Zen Hei"/>
        <family val="2"/>
      </rPr>
      <t xml:space="preserve">）：押しても</t>
    </r>
    <r>
      <rPr>
        <sz val="11"/>
        <color theme="1"/>
        <rFont val="Arial"/>
        <family val="0"/>
        <charset val="1"/>
      </rPr>
      <t xml:space="preserve">S1</t>
    </r>
    <r>
      <rPr>
        <sz val="11"/>
        <color theme="1"/>
        <rFont val="WenQuanYi Zen Hei"/>
        <family val="2"/>
      </rPr>
      <t xml:space="preserve">は日没で始まるので、</t>
    </r>
    <r>
      <rPr>
        <sz val="11"/>
        <color theme="1"/>
        <rFont val="Arial"/>
        <family val="0"/>
        <charset val="1"/>
      </rPr>
      <t xml:space="preserve">S20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S21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S22</t>
    </r>
    <r>
      <rPr>
        <sz val="11"/>
        <color theme="1"/>
        <rFont val="WenQuanYi Zen Hei"/>
        <family val="2"/>
      </rPr>
      <t xml:space="preserve">が圧迫されます。</t>
    </r>
    <r>
      <rPr>
        <sz val="11"/>
        <color theme="1"/>
        <rFont val="Arial"/>
        <family val="0"/>
        <charset val="1"/>
      </rPr>
      <t xml:space="preserve">12:30</t>
    </r>
    <r>
      <rPr>
        <sz val="11"/>
        <color theme="1"/>
        <rFont val="WenQuanYi Zen Hei"/>
        <family val="2"/>
      </rPr>
      <t xml:space="preserve">の時点で</t>
    </r>
    <r>
      <rPr>
        <sz val="11"/>
        <color theme="1"/>
        <rFont val="Arial"/>
        <family val="0"/>
        <charset val="1"/>
      </rPr>
      <t xml:space="preserve">L</t>
    </r>
    <r>
      <rPr>
        <sz val="11"/>
        <color theme="1"/>
        <rFont val="WenQuanYi Zen Hei"/>
        <family val="2"/>
      </rPr>
      <t xml:space="preserve">が終わっていなければ、</t>
    </r>
    <r>
      <rPr>
        <sz val="11"/>
        <color theme="1"/>
        <rFont val="Arial"/>
        <family val="0"/>
        <charset val="1"/>
      </rPr>
      <t xml:space="preserve">F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J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M</t>
    </r>
    <r>
      <rPr>
        <sz val="11"/>
        <color theme="1"/>
        <rFont val="WenQuanYi Zen Hei"/>
        <family val="2"/>
      </rPr>
      <t xml:space="preserve">を落とす判断を。</t>
    </r>
  </si>
  <si>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Arial"/>
        <family val="0"/>
        <charset val="1"/>
      </rPr>
      <t xml:space="preserve">S11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Arial"/>
        <family val="0"/>
        <charset val="1"/>
      </rPr>
      <t xml:space="preserve">DAY3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Arial"/>
        <family val="0"/>
        <charset val="1"/>
      </rPr>
      <t xml:space="preserve">S19</t>
    </r>
    <r>
      <rPr>
        <sz val="11"/>
        <color theme="1"/>
        <rFont val="WenQuanYi Zen Hei"/>
        <family val="2"/>
      </rPr>
      <t xml:space="preserve">までの余白（待ち・効果音録り）が吸収してくれます。効果音録りは子どもの解放後にも回せます。</t>
    </r>
  </si>
  <si>
    <r>
      <rPr>
        <b val="true"/>
        <sz val="12"/>
        <rFont val="WenQuanYi Zen Hei"/>
        <family val="2"/>
      </rPr>
      <t xml:space="preserve">資料「</t>
    </r>
    <r>
      <rPr>
        <b val="true"/>
        <sz val="12"/>
        <rFont val="Arial"/>
        <family val="0"/>
        <charset val="1"/>
      </rPr>
      <t xml:space="preserve">4</t>
    </r>
    <r>
      <rPr>
        <b val="true"/>
        <sz val="12"/>
        <rFont val="WenQuanYi Zen Hei"/>
        <family val="2"/>
      </rPr>
      <t xml:space="preserve">」の※の数字を見直した結果</t>
    </r>
  </si>
  <si>
    <r>
      <rPr>
        <sz val="10"/>
        <color rgb="FF555555"/>
        <rFont val="WenQuanYi Zen Hei"/>
        <family val="2"/>
      </rPr>
      <t xml:space="preserve">推奨枠＝改訂案で撮る範囲の標準見積もりを</t>
    </r>
    <r>
      <rPr>
        <sz val="10"/>
        <color rgb="FF555555"/>
        <rFont val="Arial"/>
        <family val="0"/>
        <charset val="1"/>
      </rPr>
      <t xml:space="preserve">5</t>
    </r>
    <r>
      <rPr>
        <sz val="10"/>
        <color rgb="FF555555"/>
        <rFont val="WenQuanYi Zen Hei"/>
        <family val="2"/>
      </rPr>
      <t xml:space="preserve">分単位で切り上げ。</t>
    </r>
  </si>
  <si>
    <r>
      <rPr>
        <b val="true"/>
        <sz val="10"/>
        <rFont val="WenQuanYi Zen Hei"/>
        <family val="2"/>
      </rPr>
      <t xml:space="preserve">※の数字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</si>
  <si>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資料の扱い</t>
  </si>
  <si>
    <r>
      <rPr>
        <b val="true"/>
        <sz val="10"/>
        <rFont val="WenQuanYi Zen Hei"/>
        <family val="2"/>
      </rPr>
      <t xml:space="preserve">最短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全構図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</si>
  <si>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全構図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</si>
  <si>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余裕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全構図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</si>
  <si>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判定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全構図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</si>
  <si>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標準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改訂の撮る範囲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</si>
  <si>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推奨枠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</si>
  <si>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※との差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Arial"/>
        <family val="0"/>
        <charset val="1"/>
      </rPr>
      <t xml:space="preserve">)</t>
    </r>
  </si>
  <si>
    <t xml:space="preserve">見直しのコメント</t>
  </si>
  <si>
    <t xml:space="preserve">根拠が弱い</t>
  </si>
  <si>
    <r>
      <rPr>
        <sz val="10"/>
        <rFont val="WenQuanYi Zen Hei"/>
        <family val="2"/>
      </rPr>
      <t xml:space="preserve">犬・子ども・歩き芝居で構図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。全部撮ると約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時間。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をカット（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構図）で約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時間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分、必須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構図だけで約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時間。</t>
    </r>
    <r>
      <rPr>
        <sz val="10"/>
        <rFont val="Arial"/>
        <family val="0"/>
        <charset val="1"/>
      </rPr>
      <t xml:space="preserve">10:00</t>
    </r>
    <r>
      <rPr>
        <sz val="10"/>
        <rFont val="WenQuanYi Zen Hei"/>
        <family val="2"/>
      </rPr>
      <t xml:space="preserve">開始で枠を広げる</t>
    </r>
  </si>
  <si>
    <r>
      <rPr>
        <sz val="10"/>
        <rFont val="Arial"/>
        <family val="0"/>
        <charset val="1"/>
      </rPr>
      <t xml:space="preserve">S3</t>
    </r>
    <r>
      <rPr>
        <sz val="10"/>
        <rFont val="WenQuanYi Zen Hei"/>
        <family val="2"/>
      </rPr>
      <t xml:space="preserve">は先行準備（</t>
    </r>
    <r>
      <rPr>
        <sz val="10"/>
        <rFont val="Arial"/>
        <family val="0"/>
        <charset val="1"/>
      </rPr>
      <t xml:space="preserve">10:00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11:30</t>
    </r>
    <r>
      <rPr>
        <sz val="10"/>
        <rFont val="WenQuanYi Zen Hei"/>
        <family val="2"/>
      </rPr>
      <t xml:space="preserve">）で設営済みとして計算。それでも標準は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分を超える。</t>
    </r>
    <r>
      <rPr>
        <sz val="10"/>
        <rFont val="Arial"/>
        <family val="0"/>
        <charset val="1"/>
      </rPr>
      <t xml:space="preserve">DAY1</t>
    </r>
    <r>
      <rPr>
        <sz val="10"/>
        <rFont val="WenQuanYi Zen Hei"/>
        <family val="2"/>
      </rPr>
      <t xml:space="preserve">の余白で吸収できる</t>
    </r>
  </si>
  <si>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人・「間」が重要。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をカット、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H</t>
    </r>
    <r>
      <rPr>
        <sz val="10"/>
        <rFont val="WenQuanYi Zen Hei"/>
        <family val="2"/>
      </rPr>
      <t xml:space="preserve">をエキストラ集合前に事前撮りして、本番を短くする</t>
    </r>
  </si>
  <si>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分でほぼ標準どおり。時計の時刻合わせ（</t>
    </r>
    <r>
      <rPr>
        <sz val="10"/>
        <rFont val="Arial"/>
        <family val="0"/>
        <charset val="1"/>
      </rPr>
      <t xml:space="preserve">10:18</t>
    </r>
    <r>
      <rPr>
        <sz val="10"/>
        <rFont val="WenQuanYi Zen Hei"/>
        <family val="2"/>
      </rPr>
      <t xml:space="preserve">）は転換の時間で</t>
    </r>
  </si>
  <si>
    <r>
      <rPr>
        <sz val="10"/>
        <rFont val="WenQuanYi Zen Hei"/>
        <family val="2"/>
      </rPr>
      <t xml:space="preserve">テイクごとに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人を教室へ戻す大リセット。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分は最短にも届かない。本番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テイクまでと決めて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</si>
  <si>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見込み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分（監督の感覚）／元の見積もり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分</t>
    </r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</si>
  <si>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分は最短（約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分）より短い。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分は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分で過大。構図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・ワンカット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つで、標準約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分が目安</t>
    </r>
  </si>
  <si>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がすべて未確定、シュートあり。全部撮ると約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時間、必須＋できれば（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構図）で約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時間半、必須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構図だけで約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時間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分。コンテ確定が先決</t>
    </r>
  </si>
  <si>
    <t xml:space="preserve">根拠が弱い（エキストラ分）</t>
  </si>
  <si>
    <r>
      <rPr>
        <sz val="10"/>
        <rFont val="WenQuanYi Zen Hei"/>
        <family val="2"/>
      </rPr>
      <t xml:space="preserve">エキストラだけの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構図。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分は余裕あり。浮いた時間で</t>
    </r>
    <r>
      <rPr>
        <sz val="10"/>
        <rFont val="Arial"/>
        <family val="0"/>
        <charset val="1"/>
      </rPr>
      <t xml:space="preserve">11/3</t>
    </r>
    <r>
      <rPr>
        <sz val="10"/>
        <rFont val="WenQuanYi Zen Hei"/>
        <family val="2"/>
      </rPr>
      <t xml:space="preserve">用の背景素材を撮る</t>
    </r>
  </si>
  <si>
    <t xml:space="preserve">根拠が弱い（リョウ・ソウタ分）</t>
  </si>
  <si>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つ（すべて未確定）・ワンカット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つ。標準は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分を少し超える</t>
    </r>
  </si>
  <si>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＋末尾。全部撮ると標準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分前後。必須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構図なら約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分。末尾は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の続きとして撮る</t>
    </r>
  </si>
  <si>
    <r>
      <rPr>
        <sz val="10"/>
        <rFont val="WenQuanYi Zen Hei"/>
        <family val="2"/>
      </rPr>
      <t xml:space="preserve">構図指定なし（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つと仮置き）。夕方の場面なので、時刻の置き場所のほうが問題</t>
    </r>
  </si>
  <si>
    <r>
      <rPr>
        <sz val="11"/>
        <color theme="1"/>
        <rFont val="Arial"/>
        <family val="0"/>
        <charset val="1"/>
      </rPr>
      <t xml:space="preserve">※S1</t>
    </r>
    <r>
      <rPr>
        <sz val="11"/>
        <color theme="1"/>
        <rFont val="WenQuanYi Zen Hei"/>
        <family val="2"/>
      </rPr>
      <t xml:space="preserve">の「※表では防波堤」は数字ではなく場所の食い違い（脚本は砂浜）。要確認の一覧に入れています。</t>
    </r>
  </si>
  <si>
    <t xml:space="preserve">要確認の一覧（推測で埋めていない点）</t>
  </si>
  <si>
    <t xml:space="preserve">No</t>
  </si>
  <si>
    <t xml:space="preserve">項目</t>
  </si>
  <si>
    <t xml:space="preserve">なぜ必要か</t>
  </si>
  <si>
    <t xml:space="preserve">誰に</t>
  </si>
  <si>
    <t xml:space="preserve">期限の目安</t>
  </si>
  <si>
    <r>
      <rPr>
        <sz val="10"/>
        <rFont val="WenQuanYi Zen Hei"/>
        <family val="2"/>
      </rPr>
      <t xml:space="preserve">敦（ソウタ役）の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日間（</t>
    </r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午後・</t>
    </r>
    <r>
      <rPr>
        <sz val="10"/>
        <rFont val="Arial"/>
        <family val="0"/>
        <charset val="1"/>
      </rPr>
      <t xml:space="preserve">11/1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11/3</t>
    </r>
    <r>
      <rPr>
        <sz val="10"/>
        <rFont val="WenQuanYi Zen Hei"/>
        <family val="2"/>
      </rPr>
      <t xml:space="preserve">）の参加確認</t>
    </r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</si>
  <si>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6-6</t>
    </r>
    <r>
      <rPr>
        <sz val="10"/>
        <rFont val="WenQuanYi Zen Hei"/>
        <family val="2"/>
      </rPr>
      <t xml:space="preserve">で未確認。</t>
    </r>
    <r>
      <rPr>
        <sz val="10"/>
        <rFont val="Arial"/>
        <family val="0"/>
        <charset val="1"/>
      </rPr>
      <t xml:space="preserve">S5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に出る</t>
    </r>
  </si>
  <si>
    <t xml:space="preserve">制作</t>
  </si>
  <si>
    <t xml:space="preserve">すぐ</t>
  </si>
  <si>
    <t xml:space="preserve">笹原役の決定</t>
  </si>
  <si>
    <r>
      <rPr>
        <sz val="10"/>
        <rFont val="Arial"/>
        <family val="0"/>
        <charset val="1"/>
      </rPr>
      <t xml:space="preserve">S3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）と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11/3</t>
    </r>
    <r>
      <rPr>
        <sz val="10"/>
        <rFont val="WenQuanYi Zen Hei"/>
        <family val="2"/>
      </rPr>
      <t xml:space="preserve">）。決まらないと</t>
    </r>
    <r>
      <rPr>
        <sz val="10"/>
        <rFont val="Arial"/>
        <family val="0"/>
        <charset val="1"/>
      </rPr>
      <t xml:space="preserve">DAY1</t>
    </r>
    <r>
      <rPr>
        <sz val="10"/>
        <rFont val="WenQuanYi Zen Hei"/>
        <family val="2"/>
      </rPr>
      <t xml:space="preserve">の最初のシーンが組めない</t>
    </r>
  </si>
  <si>
    <t xml:space="preserve">監督・制作</t>
  </si>
  <si>
    <t xml:space="preserve">10/25</t>
  </si>
  <si>
    <r>
      <rPr>
        <sz val="10"/>
        <rFont val="Arial"/>
        <family val="0"/>
        <charset val="1"/>
      </rPr>
      <t xml:space="preserve">11/3</t>
    </r>
    <r>
      <rPr>
        <sz val="10"/>
        <rFont val="WenQuanYi Zen Hei"/>
        <family val="2"/>
      </rPr>
      <t xml:space="preserve">の学校の追加使用の許可（</t>
    </r>
    <r>
      <rPr>
        <sz val="10"/>
        <rFont val="Arial"/>
        <family val="0"/>
        <charset val="1"/>
      </rPr>
      <t xml:space="preserve">7:30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17:40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</si>
  <si>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S17</t>
    </r>
    <r>
      <rPr>
        <sz val="10"/>
        <rFont val="WenQuanYi Zen Hei"/>
        <family val="2"/>
      </rPr>
      <t xml:space="preserve">は薄暮の終わり</t>
    </r>
    <r>
      <rPr>
        <sz val="10"/>
        <rFont val="Arial"/>
        <family val="0"/>
        <charset val="1"/>
      </rPr>
      <t xml:space="preserve">17:38</t>
    </r>
    <r>
      <rPr>
        <sz val="10"/>
        <rFont val="WenQuanYi Zen Hei"/>
        <family val="2"/>
      </rPr>
      <t xml:space="preserve">まで撮る</t>
    </r>
  </si>
  <si>
    <t xml:space="preserve">制作・奥出雲町</t>
  </si>
  <si>
    <t xml:space="preserve">10/27</t>
  </si>
  <si>
    <t xml:space="preserve">撮影・演出の体制（カメラ担当の有無）</t>
  </si>
  <si>
    <r>
      <rPr>
        <sz val="10"/>
        <rFont val="WenQuanYi Zen Hei"/>
        <family val="2"/>
      </rPr>
      <t xml:space="preserve">構図切替の係数（標準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分）が大きく変わる</t>
    </r>
  </si>
  <si>
    <t xml:space="preserve">監督</t>
  </si>
  <si>
    <t xml:space="preserve">構図マーカーの色（緑／ピンク／赤）の意味</t>
  </si>
  <si>
    <t xml:space="preserve">ピンク・赤を「未確定」として計算</t>
  </si>
  <si>
    <r>
      <rPr>
        <sz val="10"/>
        <rFont val="Arial"/>
        <family val="0"/>
        <charset val="1"/>
      </rPr>
      <t xml:space="preserve">S2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S5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の構図の優先度（この案の確定）</t>
    </r>
  </si>
  <si>
    <r>
      <rPr>
        <sz val="10"/>
        <rFont val="Arial"/>
        <family val="0"/>
        <charset val="1"/>
      </rPr>
      <t xml:space="preserve">17:00</t>
    </r>
    <r>
      <rPr>
        <sz val="10"/>
        <rFont val="WenQuanYi Zen Hei"/>
        <family val="2"/>
      </rPr>
      <t xml:space="preserve">解散と日没に間に合わせるための前提</t>
    </r>
  </si>
  <si>
    <r>
      <rPr>
        <sz val="10"/>
        <rFont val="Arial"/>
        <family val="0"/>
        <charset val="1"/>
      </rPr>
      <t xml:space="preserve">S1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S21</t>
    </r>
    <r>
      <rPr>
        <sz val="10"/>
        <rFont val="WenQuanYi Zen Hei"/>
        <family val="2"/>
      </rPr>
      <t xml:space="preserve">の場所（脚本は砂浜・通り、表は防波堤）</t>
    </r>
  </si>
  <si>
    <t xml:space="preserve">移動時間と画が変わる</t>
  </si>
  <si>
    <r>
      <rPr>
        <sz val="10"/>
        <rFont val="Arial"/>
        <family val="0"/>
        <charset val="1"/>
      </rPr>
      <t xml:space="preserve">S19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S22</t>
    </r>
    <r>
      <rPr>
        <sz val="10"/>
        <rFont val="WenQuanYi Zen Hei"/>
        <family val="2"/>
      </rPr>
      <t xml:space="preserve">と</t>
    </r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末尾の構図</t>
    </r>
  </si>
  <si>
    <t xml:space="preserve">構図指定がない。仮の値で計算</t>
  </si>
  <si>
    <t xml:space="preserve">監督・撮影</t>
  </si>
  <si>
    <r>
      <rPr>
        <sz val="10"/>
        <rFont val="Arial"/>
        <family val="0"/>
        <charset val="1"/>
      </rPr>
      <t xml:space="preserve">DAY2</t>
    </r>
    <r>
      <rPr>
        <sz val="10"/>
        <rFont val="WenQuanYi Zen Hei"/>
        <family val="2"/>
      </rPr>
      <t xml:space="preserve">の事前撮り（</t>
    </r>
    <r>
      <rPr>
        <sz val="10"/>
        <rFont val="Arial"/>
        <family val="0"/>
        <charset val="1"/>
      </rPr>
      <t xml:space="preserve">9:40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10:25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S5 D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H</t>
    </r>
    <r>
      <rPr>
        <sz val="10"/>
        <rFont val="WenQuanYi Zen Hei"/>
        <family val="2"/>
      </rPr>
      <t xml:space="preserve">）を小松さんにお願いできるか</t>
    </r>
  </si>
  <si>
    <r>
      <rPr>
        <sz val="10"/>
        <rFont val="Arial"/>
        <family val="0"/>
        <charset val="1"/>
      </rPr>
      <t xml:space="preserve">9:00</t>
    </r>
    <r>
      <rPr>
        <sz val="10"/>
        <rFont val="WenQuanYi Zen Hei"/>
        <family val="2"/>
      </rPr>
      <t xml:space="preserve">集合は現行どおり。エキストラの時刻は変えない</t>
    </r>
  </si>
  <si>
    <r>
      <rPr>
        <sz val="10"/>
        <rFont val="Arial"/>
        <family val="0"/>
        <charset val="1"/>
      </rPr>
      <t xml:space="preserve">DAY4</t>
    </r>
    <r>
      <rPr>
        <sz val="10"/>
        <rFont val="WenQuanYi Zen Hei"/>
        <family val="2"/>
      </rPr>
      <t xml:space="preserve">の集合を</t>
    </r>
    <r>
      <rPr>
        <sz val="10"/>
        <rFont val="Arial"/>
        <family val="0"/>
        <charset val="1"/>
      </rPr>
      <t xml:space="preserve">9:30</t>
    </r>
    <r>
      <rPr>
        <sz val="10"/>
        <rFont val="WenQuanYi Zen Hei"/>
        <family val="2"/>
      </rPr>
      <t xml:space="preserve">に前倒しできるか（出演者・綾瀬さん・犬）</t>
    </r>
  </si>
  <si>
    <r>
      <rPr>
        <sz val="10"/>
        <rFont val="Arial"/>
        <family val="0"/>
        <charset val="1"/>
      </rPr>
      <t xml:space="preserve">S2</t>
    </r>
    <r>
      <rPr>
        <sz val="10"/>
        <rFont val="WenQuanYi Zen Hei"/>
        <family val="2"/>
      </rPr>
      <t xml:space="preserve">を朝の光で、かつ日没に間に合わせるため</t>
    </r>
  </si>
  <si>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の「光待ち」は必要か（屋内なので、改訂案では待たない）</t>
    </r>
  </si>
  <si>
    <r>
      <rPr>
        <sz val="10"/>
        <rFont val="WenQuanYi Zen Hei"/>
        <family val="2"/>
      </rPr>
      <t xml:space="preserve">待たないと</t>
    </r>
    <r>
      <rPr>
        <sz val="10"/>
        <rFont val="Arial"/>
        <family val="0"/>
        <charset val="1"/>
      </rPr>
      <t xml:space="preserve">17:00</t>
    </r>
    <r>
      <rPr>
        <sz val="10"/>
        <rFont val="WenQuanYi Zen Hei"/>
        <family val="2"/>
      </rPr>
      <t xml:space="preserve">解散に間に合う</t>
    </r>
  </si>
  <si>
    <r>
      <rPr>
        <sz val="10"/>
        <rFont val="WenQuanYi Zen Hei"/>
        <family val="2"/>
      </rPr>
      <t xml:space="preserve">ピンマイク装着の実際の時間（子ども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人あたり）</t>
    </r>
  </si>
  <si>
    <r>
      <rPr>
        <sz val="10"/>
        <rFont val="WenQuanYi Zen Hei"/>
        <family val="2"/>
      </rPr>
      <t xml:space="preserve">仮に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分。</t>
    </r>
    <r>
      <rPr>
        <sz val="10"/>
        <rFont val="Arial"/>
        <family val="0"/>
        <charset val="1"/>
      </rPr>
      <t xml:space="preserve">DAY3</t>
    </r>
    <r>
      <rPr>
        <sz val="10"/>
        <rFont val="WenQuanYi Zen Hei"/>
        <family val="2"/>
      </rPr>
      <t xml:space="preserve">は</t>
    </r>
    <r>
      <rPr>
        <sz val="10"/>
        <rFont val="Arial"/>
        <family val="0"/>
        <charset val="1"/>
      </rPr>
      <t xml:space="preserve">7:30</t>
    </r>
    <r>
      <rPr>
        <sz val="10"/>
        <rFont val="WenQuanYi Zen Hei"/>
        <family val="2"/>
      </rPr>
      <t xml:space="preserve">集合・</t>
    </r>
    <r>
      <rPr>
        <sz val="10"/>
        <rFont val="Arial"/>
        <family val="0"/>
        <charset val="1"/>
      </rPr>
      <t xml:space="preserve">8:00</t>
    </r>
    <r>
      <rPr>
        <sz val="10"/>
        <rFont val="WenQuanYi Zen Hei"/>
        <family val="2"/>
      </rPr>
      <t xml:space="preserve">開始で余裕が少ない</t>
    </r>
  </si>
  <si>
    <t xml:space="preserve">録音部</t>
  </si>
  <si>
    <r>
      <rPr>
        <sz val="10"/>
        <rFont val="Arial"/>
        <family val="0"/>
        <charset val="1"/>
      </rPr>
      <t xml:space="preserve">10/29</t>
    </r>
    <r>
      <rPr>
        <sz val="10"/>
        <rFont val="WenQuanYi Zen Hei"/>
        <family val="2"/>
      </rPr>
      <t xml:space="preserve">（ロケハン時に試す）</t>
    </r>
  </si>
  <si>
    <r>
      <rPr>
        <sz val="10"/>
        <rFont val="Arial"/>
        <family val="0"/>
        <charset val="1"/>
      </rPr>
      <t xml:space="preserve">DJI Mic 2</t>
    </r>
    <r>
      <rPr>
        <sz val="10"/>
        <rFont val="WenQuanYi Zen Hei"/>
        <family val="2"/>
      </rPr>
      <t xml:space="preserve">送信機の電池が一日もつか、内部録音の容量</t>
    </r>
  </si>
  <si>
    <r>
      <rPr>
        <sz val="10"/>
        <rFont val="WenQuanYi Zen Hei"/>
        <family val="2"/>
      </rPr>
      <t xml:space="preserve">子どもは一日つけたまま（資料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DAY3</t>
    </r>
    <r>
      <rPr>
        <sz val="10"/>
        <rFont val="WenQuanYi Zen Hei"/>
        <family val="2"/>
      </rPr>
      <t xml:space="preserve">は約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時間</t>
    </r>
  </si>
  <si>
    <r>
      <rPr>
        <sz val="10"/>
        <rFont val="Arial"/>
        <family val="0"/>
        <charset val="1"/>
      </rPr>
      <t xml:space="preserve">S13</t>
    </r>
    <r>
      <rPr>
        <sz val="10"/>
        <rFont val="WenQuanYi Zen Hei"/>
        <family val="2"/>
      </rPr>
      <t xml:space="preserve">の男子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人にピンマイクを付けるか（ガンマイクだけにするか）</t>
    </r>
  </si>
  <si>
    <t xml:space="preserve">当日選ぶので装着の時間が読みにくい。顔は映さない</t>
  </si>
  <si>
    <r>
      <rPr>
        <sz val="10"/>
        <rFont val="Arial"/>
        <family val="0"/>
        <charset val="1"/>
      </rPr>
      <t xml:space="preserve">S9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のチャイムの録り方（祝日・休日に鳴らせるか）</t>
    </r>
  </si>
  <si>
    <t xml:space="preserve">現行表に時間がない</t>
  </si>
  <si>
    <t xml:space="preserve">録音部・学校</t>
  </si>
  <si>
    <t xml:space="preserve">10/29</t>
  </si>
  <si>
    <r>
      <rPr>
        <sz val="10"/>
        <rFont val="WenQuanYi Zen Hei"/>
        <family val="2"/>
      </rPr>
      <t xml:space="preserve">雨天時の代替（</t>
    </r>
    <r>
      <rPr>
        <sz val="10"/>
        <rFont val="Arial"/>
        <family val="0"/>
        <charset val="1"/>
      </rPr>
      <t xml:space="preserve">S3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S20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S21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S1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</si>
  <si>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6-9</t>
    </r>
    <r>
      <rPr>
        <sz val="10"/>
        <rFont val="WenQuanYi Zen Hei"/>
        <family val="2"/>
      </rPr>
      <t xml:space="preserve">で未整理。</t>
    </r>
    <r>
      <rPr>
        <sz val="10"/>
        <rFont val="Arial"/>
        <family val="0"/>
        <charset val="1"/>
      </rPr>
      <t xml:space="preserve">DAY1</t>
    </r>
    <r>
      <rPr>
        <sz val="10"/>
        <rFont val="WenQuanYi Zen Hei"/>
        <family val="2"/>
      </rPr>
      <t xml:space="preserve">は予備日がない</t>
    </r>
  </si>
  <si>
    <t xml:space="preserve">子役の拘束の上限（保護者との約束）</t>
  </si>
  <si>
    <r>
      <rPr>
        <sz val="10"/>
        <rFont val="Arial"/>
        <family val="0"/>
        <charset val="1"/>
      </rPr>
      <t xml:space="preserve">DAY3</t>
    </r>
    <r>
      <rPr>
        <sz val="10"/>
        <rFont val="WenQuanYi Zen Hei"/>
        <family val="2"/>
      </rPr>
      <t xml:space="preserve">のリョウ・チハルは実働が約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時間半</t>
    </r>
  </si>
  <si>
    <t xml:space="preserve">制作・保護者</t>
  </si>
  <si>
    <r>
      <rPr>
        <sz val="10"/>
        <rFont val="Arial"/>
        <family val="0"/>
        <charset val="1"/>
      </rPr>
      <t xml:space="preserve">S16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11/3</t>
    </r>
    <r>
      <rPr>
        <sz val="10"/>
        <rFont val="WenQuanYi Zen Hei"/>
        <family val="2"/>
      </rPr>
      <t xml:space="preserve">）の背景をどう見せるか</t>
    </r>
  </si>
  <si>
    <r>
      <rPr>
        <sz val="10"/>
        <rFont val="WenQuanYi Zen Hei"/>
        <family val="2"/>
      </rPr>
      <t xml:space="preserve">エキストラなしの日。</t>
    </r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に背景素材を撮る案あり</t>
    </r>
  </si>
  <si>
    <r>
      <rPr>
        <sz val="10"/>
        <rFont val="WenQuanYi Zen Hei"/>
        <family val="2"/>
      </rPr>
      <t xml:space="preserve">体育館の天井通路（</t>
    </r>
    <r>
      <rPr>
        <sz val="10"/>
        <rFont val="Arial"/>
        <family val="0"/>
        <charset val="1"/>
      </rPr>
      <t xml:space="preserve">S15</t>
    </r>
    <r>
      <rPr>
        <sz val="10"/>
        <rFont val="WenQuanYi Zen Hei"/>
        <family val="2"/>
      </rPr>
      <t xml:space="preserve">構図</t>
    </r>
    <r>
      <rPr>
        <sz val="10"/>
        <rFont val="Arial"/>
        <family val="0"/>
        <charset val="1"/>
      </rPr>
      <t xml:space="preserve">G</t>
    </r>
    <r>
      <rPr>
        <sz val="10"/>
        <rFont val="WenQuanYi Zen Hei"/>
        <family val="2"/>
      </rPr>
      <t xml:space="preserve">）に上がってよいか</t>
    </r>
  </si>
  <si>
    <t xml:space="preserve">安全と許可</t>
  </si>
  <si>
    <t xml:space="preserve">制作・学校</t>
  </si>
  <si>
    <r>
      <rPr>
        <sz val="10"/>
        <rFont val="Arial"/>
        <family val="0"/>
        <charset val="1"/>
      </rPr>
      <t xml:space="preserve">S5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S18</t>
    </r>
    <r>
      <rPr>
        <sz val="10"/>
        <rFont val="WenQuanYi Zen Hei"/>
        <family val="2"/>
      </rPr>
      <t xml:space="preserve">で時刻と黒板が変わる</t>
    </r>
  </si>
  <si>
    <r>
      <rPr>
        <sz val="10"/>
        <rFont val="WenQuanYi Zen Hei"/>
        <family val="2"/>
      </rPr>
      <t xml:space="preserve">野口役（小松さん）が</t>
    </r>
    <r>
      <rPr>
        <sz val="10"/>
        <rFont val="Arial"/>
        <family val="0"/>
        <charset val="1"/>
      </rPr>
      <t xml:space="preserve">11/1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17:00</t>
    </r>
    <r>
      <rPr>
        <sz val="10"/>
        <rFont val="WenQuanYi Zen Hei"/>
        <family val="2"/>
      </rPr>
      <t xml:space="preserve">以降も残れるか、</t>
    </r>
    <r>
      <rPr>
        <sz val="10"/>
        <rFont val="Arial"/>
        <family val="0"/>
        <charset val="1"/>
      </rPr>
      <t xml:space="preserve">11/8</t>
    </r>
    <r>
      <rPr>
        <sz val="10"/>
        <rFont val="WenQuanYi Zen Hei"/>
        <family val="2"/>
      </rPr>
      <t xml:space="preserve">に来られるか</t>
    </r>
  </si>
  <si>
    <r>
      <rPr>
        <sz val="10"/>
        <rFont val="Arial"/>
        <family val="0"/>
        <charset val="1"/>
      </rPr>
      <t xml:space="preserve">11/1</t>
    </r>
    <r>
      <rPr>
        <sz val="10"/>
        <rFont val="WenQuanYi Zen Hei"/>
        <family val="2"/>
      </rPr>
      <t xml:space="preserve">が唯一の出番日。予備日がない</t>
    </r>
  </si>
  <si>
    <r>
      <rPr>
        <sz val="10"/>
        <rFont val="Arial"/>
        <family val="0"/>
        <charset val="1"/>
      </rPr>
      <t xml:space="preserve">11/7</t>
    </r>
    <r>
      <rPr>
        <sz val="10"/>
        <rFont val="WenQuanYi Zen Hei"/>
        <family val="2"/>
      </rPr>
      <t xml:space="preserve">と</t>
    </r>
    <r>
      <rPr>
        <sz val="10"/>
        <rFont val="Arial"/>
        <family val="0"/>
        <charset val="1"/>
      </rPr>
      <t xml:space="preserve">11/8</t>
    </r>
    <r>
      <rPr>
        <sz val="10"/>
        <rFont val="WenQuanYi Zen Hei"/>
        <family val="2"/>
      </rPr>
      <t xml:space="preserve">のどちらを本番にするか</t>
    </r>
  </si>
  <si>
    <r>
      <rPr>
        <sz val="10"/>
        <rFont val="WenQuanYi Zen Hei"/>
        <family val="2"/>
      </rPr>
      <t xml:space="preserve">資料</t>
    </r>
    <r>
      <rPr>
        <sz val="10"/>
        <rFont val="Arial"/>
        <family val="0"/>
        <charset val="1"/>
      </rPr>
      <t xml:space="preserve">6-3</t>
    </r>
    <r>
      <rPr>
        <sz val="10"/>
        <rFont val="WenQuanYi Zen Hei"/>
        <family val="2"/>
      </rPr>
      <t xml:space="preserve">。天気予報を見て</t>
    </r>
    <r>
      <rPr>
        <sz val="10"/>
        <rFont val="Arial"/>
        <family val="0"/>
        <charset val="1"/>
      </rPr>
      <t xml:space="preserve">11/5</t>
    </r>
    <r>
      <rPr>
        <sz val="10"/>
        <rFont val="WenQuanYi Zen Hei"/>
        <family val="2"/>
      </rPr>
      <t xml:space="preserve">ごろに判断</t>
    </r>
  </si>
  <si>
    <t xml:space="preserve">11/5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</si>
</sst>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0.0"/>
    <numFmt numFmtId="168" formatCode="m/d"/>
    <numFmt numFmtId="169" formatCode="0.00"/>
    <numFmt numFmtId="170" formatCode="h:mm"/>
    <numFmt numFmtId="171" formatCode="0%"/>
    <numFmt numFmtId="172" formatCode="\×0.00"/>
    <numFmt numFmtId="173" formatCode="\×0.00&quot;の終了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2"/>
      <name val="WenQuanYi Zen Hei"/>
      <family val="2"/>
    </font>
    <font>
      <sz val="11"/>
      <color theme="1"/>
      <name val="Arial"/>
      <family val="0"/>
      <charset val="1"/>
    </font>
    <font>
      <sz val="10"/>
      <color rgb="FF555555"/>
      <name val="WenQuanYi Zen Hei"/>
      <family val="2"/>
    </font>
    <font>
      <sz val="10"/>
      <color rgb="FF55555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0"/>
      <color rgb="FF0000FF"/>
      <name val="Arial"/>
      <family val="0"/>
      <charset val="1"/>
    </font>
    <font>
      <sz val="10"/>
      <color rgb="FF008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DDE4EE"/>
        <bgColor rgb="FFDCEFE0"/>
      </patternFill>
    </fill>
    <fill>
      <patternFill patternType="solid">
        <fgColor rgb="FFFFF2A8"/>
        <bgColor rgb="FFFBE0A8"/>
      </patternFill>
    </fill>
    <fill>
      <patternFill patternType="solid">
        <fgColor rgb="FFDCEFE0"/>
        <bgColor rgb="FFCDEBD5"/>
      </patternFill>
    </fill>
    <fill>
      <patternFill patternType="solid">
        <fgColor rgb="FFF5F8F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DEBD5"/>
        </patternFill>
      </fill>
    </dxf>
    <dxf>
      <fill>
        <patternFill>
          <bgColor rgb="FFF4B6B6"/>
        </patternFill>
      </fill>
    </dxf>
    <dxf>
      <fill>
        <patternFill>
          <bgColor rgb="FFFBE0A8"/>
        </patternFill>
      </fill>
    </dxf>
  </dxfs>
  <colors>
    <indexedColors>
      <rgbColor rgb="FF000000"/>
      <rgbColor rgb="FFF5F8F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CEFE0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BD5"/>
      <rgbColor rgb="FFFFF2A8"/>
      <rgbColor rgb="FF99CCFF"/>
      <rgbColor rgb="FFF4B6B6"/>
      <rgbColor rgb="FFCC99FF"/>
      <rgbColor rgb="FFFBE0A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4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</v>
      </c>
    </row>
    <row r="4" customFormat="false" ht="14.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3" t="s">
        <v>3</v>
      </c>
    </row>
    <row r="6" customFormat="false" ht="14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3" t="s">
        <v>6</v>
      </c>
    </row>
    <row r="10" customFormat="false" ht="14.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2"/>
    </row>
    <row r="17" customFormat="false" ht="14.15" hidden="false" customHeight="false" outlineLevel="0" collapsed="false">
      <c r="A17" s="1" t="s">
        <v>13</v>
      </c>
    </row>
    <row r="18" customFormat="false" ht="14.15" hidden="false" customHeight="false" outlineLevel="0" collapsed="false">
      <c r="A18" s="3" t="s">
        <v>14</v>
      </c>
    </row>
    <row r="19" customFormat="false" ht="14.15" hidden="false" customHeight="false" outlineLevel="0" collapsed="false">
      <c r="A19" s="3" t="s">
        <v>15</v>
      </c>
    </row>
    <row r="20" customFormat="false" ht="14.15" hidden="false" customHeight="false" outlineLevel="0" collapsed="false">
      <c r="A20" s="3" t="s">
        <v>16</v>
      </c>
    </row>
    <row r="21" customFormat="false" ht="14.15" hidden="false" customHeight="false" outlineLevel="0" collapsed="false">
      <c r="A21" s="2" t="s">
        <v>17</v>
      </c>
    </row>
    <row r="22" customFormat="false" ht="14.15" hidden="false" customHeight="false" outlineLevel="0" collapsed="false">
      <c r="A22" s="3" t="s">
        <v>18</v>
      </c>
    </row>
    <row r="23" customFormat="false" ht="14.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1" t="s">
        <v>20</v>
      </c>
    </row>
    <row r="26" customFormat="false" ht="15" hidden="false" customHeight="false" outlineLevel="0" collapsed="false">
      <c r="A26" s="3" t="s">
        <v>21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1" t="s">
        <v>22</v>
      </c>
    </row>
    <row r="29" customFormat="false" ht="14.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3" t="s">
        <v>24</v>
      </c>
    </row>
    <row r="31" customFormat="false" ht="14.15" hidden="false" customHeight="false" outlineLevel="0" collapsed="false">
      <c r="A31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9"/>
    <col collapsed="false" customWidth="true" hidden="false" outlineLevel="0" max="5" min="5" style="0" width="13"/>
    <col collapsed="false" customWidth="true" hidden="false" outlineLevel="0" max="6" min="6" style="0" width="74"/>
  </cols>
  <sheetData>
    <row r="1" customFormat="false" ht="15" hidden="false" customHeight="false" outlineLevel="0" collapsed="false">
      <c r="A1" s="4" t="s">
        <v>26</v>
      </c>
      <c r="B1" s="5"/>
      <c r="C1" s="5"/>
      <c r="D1" s="5"/>
      <c r="E1" s="5"/>
      <c r="F1" s="5"/>
    </row>
    <row r="2" customFormat="false" ht="15" hidden="false" customHeight="false" outlineLevel="0" collapsed="false">
      <c r="A2" s="6" t="s">
        <v>27</v>
      </c>
      <c r="B2" s="5"/>
      <c r="C2" s="5"/>
      <c r="D2" s="5"/>
      <c r="E2" s="5"/>
      <c r="F2" s="5"/>
    </row>
    <row r="3" customFormat="false" ht="15" hidden="false" customHeight="false" outlineLevel="0" collapsed="false">
      <c r="A3" s="7" t="s">
        <v>28</v>
      </c>
      <c r="B3" s="7" t="s">
        <v>29</v>
      </c>
      <c r="C3" s="7" t="s">
        <v>30</v>
      </c>
      <c r="D3" s="7" t="s">
        <v>31</v>
      </c>
      <c r="E3" s="7" t="s">
        <v>32</v>
      </c>
      <c r="F3" s="7" t="s">
        <v>33</v>
      </c>
    </row>
    <row r="4" customFormat="false" ht="15" hidden="false" customHeight="false" outlineLevel="0" collapsed="false">
      <c r="A4" s="8" t="s">
        <v>34</v>
      </c>
      <c r="B4" s="9" t="n">
        <v>2</v>
      </c>
      <c r="C4" s="9" t="n">
        <v>3</v>
      </c>
      <c r="D4" s="9" t="n">
        <v>3.5</v>
      </c>
      <c r="E4" s="8" t="s">
        <v>35</v>
      </c>
      <c r="F4" s="8" t="s">
        <v>36</v>
      </c>
    </row>
    <row r="5" customFormat="false" ht="15" hidden="false" customHeight="false" outlineLevel="0" collapsed="false">
      <c r="A5" s="8" t="s">
        <v>37</v>
      </c>
      <c r="B5" s="9" t="n">
        <v>1</v>
      </c>
      <c r="C5" s="9" t="n">
        <v>1.5</v>
      </c>
      <c r="D5" s="9" t="n">
        <v>2</v>
      </c>
      <c r="E5" s="8" t="s">
        <v>35</v>
      </c>
      <c r="F5" s="8" t="s">
        <v>38</v>
      </c>
    </row>
    <row r="6" customFormat="false" ht="15" hidden="false" customHeight="false" outlineLevel="0" collapsed="false">
      <c r="A6" s="8" t="s">
        <v>39</v>
      </c>
      <c r="B6" s="9" t="n">
        <v>0.5</v>
      </c>
      <c r="C6" s="9" t="n">
        <v>0.8</v>
      </c>
      <c r="D6" s="9" t="n">
        <v>1.2</v>
      </c>
      <c r="E6" s="8" t="s">
        <v>35</v>
      </c>
      <c r="F6" s="8" t="s">
        <v>40</v>
      </c>
    </row>
    <row r="7" customFormat="false" ht="15" hidden="false" customHeight="false" outlineLevel="0" collapsed="false">
      <c r="A7" s="8" t="s">
        <v>41</v>
      </c>
      <c r="B7" s="9" t="n">
        <v>1.5</v>
      </c>
      <c r="C7" s="9" t="n">
        <v>2.5</v>
      </c>
      <c r="D7" s="9" t="n">
        <v>4</v>
      </c>
      <c r="E7" s="8" t="s">
        <v>35</v>
      </c>
      <c r="F7" s="8" t="s">
        <v>42</v>
      </c>
    </row>
    <row r="8" customFormat="false" ht="15" hidden="false" customHeight="false" outlineLevel="0" collapsed="false">
      <c r="A8" s="8" t="s">
        <v>43</v>
      </c>
      <c r="B8" s="9" t="n">
        <v>4</v>
      </c>
      <c r="C8" s="9" t="n">
        <v>6</v>
      </c>
      <c r="D8" s="9" t="n">
        <v>8</v>
      </c>
      <c r="E8" s="8" t="s">
        <v>35</v>
      </c>
      <c r="F8" s="8" t="s">
        <v>44</v>
      </c>
    </row>
    <row r="9" customFormat="false" ht="15" hidden="false" customHeight="false" outlineLevel="0" collapsed="false">
      <c r="A9" s="8" t="s">
        <v>45</v>
      </c>
      <c r="B9" s="9" t="n">
        <v>2</v>
      </c>
      <c r="C9" s="9" t="n">
        <v>4</v>
      </c>
      <c r="D9" s="9" t="n">
        <v>6</v>
      </c>
      <c r="E9" s="8" t="s">
        <v>35</v>
      </c>
      <c r="F9" s="8" t="s">
        <v>46</v>
      </c>
    </row>
    <row r="10" customFormat="false" ht="15" hidden="false" customHeight="false" outlineLevel="0" collapsed="false">
      <c r="A10" s="10" t="s">
        <v>47</v>
      </c>
      <c r="B10" s="9" t="n">
        <v>12</v>
      </c>
      <c r="C10" s="9" t="n">
        <v>20</v>
      </c>
      <c r="D10" s="9" t="n">
        <v>30</v>
      </c>
      <c r="E10" s="8" t="s">
        <v>35</v>
      </c>
      <c r="F10" s="8" t="s">
        <v>48</v>
      </c>
    </row>
    <row r="11" customFormat="false" ht="15" hidden="false" customHeight="false" outlineLevel="0" collapsed="false">
      <c r="A11" s="10" t="s">
        <v>49</v>
      </c>
      <c r="B11" s="9" t="n">
        <v>8</v>
      </c>
      <c r="C11" s="9" t="n">
        <v>12</v>
      </c>
      <c r="D11" s="9" t="n">
        <v>18</v>
      </c>
      <c r="E11" s="8" t="s">
        <v>35</v>
      </c>
      <c r="F11" s="8" t="s">
        <v>50</v>
      </c>
    </row>
    <row r="12" customFormat="false" ht="15" hidden="false" customHeight="false" outlineLevel="0" collapsed="false">
      <c r="A12" s="10" t="s">
        <v>51</v>
      </c>
      <c r="B12" s="9" t="n">
        <v>3</v>
      </c>
      <c r="C12" s="9" t="n">
        <v>5</v>
      </c>
      <c r="D12" s="9" t="n">
        <v>8</v>
      </c>
      <c r="E12" s="8" t="s">
        <v>35</v>
      </c>
      <c r="F12" s="8" t="s">
        <v>52</v>
      </c>
    </row>
    <row r="13" customFormat="false" ht="15" hidden="false" customHeight="false" outlineLevel="0" collapsed="false">
      <c r="A13" s="8" t="s">
        <v>53</v>
      </c>
      <c r="B13" s="9" t="n">
        <v>0.5</v>
      </c>
      <c r="C13" s="9" t="n">
        <v>0.5</v>
      </c>
      <c r="D13" s="9" t="n">
        <v>0.5</v>
      </c>
      <c r="E13" s="8" t="s">
        <v>35</v>
      </c>
      <c r="F13" s="8" t="s">
        <v>54</v>
      </c>
    </row>
    <row r="14" customFormat="false" ht="15" hidden="false" customHeight="false" outlineLevel="0" collapsed="false">
      <c r="A14" s="8" t="s">
        <v>55</v>
      </c>
      <c r="B14" s="9" t="n">
        <v>1</v>
      </c>
      <c r="C14" s="9" t="n">
        <v>2</v>
      </c>
      <c r="D14" s="9" t="n">
        <v>3</v>
      </c>
      <c r="E14" s="8" t="s">
        <v>35</v>
      </c>
      <c r="F14" s="8" t="s">
        <v>56</v>
      </c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</row>
    <row r="17" customFormat="false" ht="15" hidden="false" customHeight="false" outlineLevel="0" collapsed="false">
      <c r="A17" s="7" t="s">
        <v>57</v>
      </c>
      <c r="B17" s="7" t="s">
        <v>58</v>
      </c>
      <c r="C17" s="7"/>
      <c r="D17" s="7"/>
      <c r="E17" s="7" t="s">
        <v>32</v>
      </c>
      <c r="F17" s="7" t="s">
        <v>33</v>
      </c>
    </row>
    <row r="18" customFormat="false" ht="15" hidden="false" customHeight="false" outlineLevel="0" collapsed="false">
      <c r="A18" s="8" t="s">
        <v>59</v>
      </c>
      <c r="B18" s="9" t="n">
        <v>10</v>
      </c>
      <c r="C18" s="5"/>
      <c r="D18" s="5"/>
      <c r="E18" s="8" t="s">
        <v>35</v>
      </c>
      <c r="F18" s="8" t="s">
        <v>60</v>
      </c>
    </row>
    <row r="19" customFormat="false" ht="15" hidden="false" customHeight="false" outlineLevel="0" collapsed="false">
      <c r="A19" s="8" t="s">
        <v>61</v>
      </c>
      <c r="B19" s="9" t="n">
        <v>5</v>
      </c>
      <c r="C19" s="5"/>
      <c r="D19" s="5"/>
      <c r="E19" s="8" t="s">
        <v>35</v>
      </c>
      <c r="F19" s="8" t="s">
        <v>62</v>
      </c>
    </row>
    <row r="20" customFormat="false" ht="15" hidden="false" customHeight="false" outlineLevel="0" collapsed="false">
      <c r="A20" s="8" t="s">
        <v>63</v>
      </c>
      <c r="B20" s="11" t="n">
        <v>2</v>
      </c>
      <c r="C20" s="5"/>
      <c r="D20" s="5"/>
      <c r="E20" s="8" t="s">
        <v>64</v>
      </c>
      <c r="F20" s="8" t="s">
        <v>65</v>
      </c>
    </row>
    <row r="21" customFormat="false" ht="15" hidden="false" customHeight="false" outlineLevel="0" collapsed="false">
      <c r="A21" s="8" t="s">
        <v>66</v>
      </c>
      <c r="B21" s="11" t="n">
        <v>50</v>
      </c>
      <c r="C21" s="5"/>
      <c r="D21" s="5"/>
      <c r="E21" s="8" t="s">
        <v>64</v>
      </c>
      <c r="F21" s="8" t="s">
        <v>67</v>
      </c>
    </row>
    <row r="22" customFormat="false" ht="15" hidden="false" customHeight="false" outlineLevel="0" collapsed="false">
      <c r="A22" s="8" t="s">
        <v>68</v>
      </c>
      <c r="B22" s="9" t="n">
        <v>15</v>
      </c>
      <c r="C22" s="5"/>
      <c r="D22" s="5"/>
      <c r="E22" s="8" t="s">
        <v>35</v>
      </c>
      <c r="F22" s="12" t="s">
        <v>69</v>
      </c>
    </row>
    <row r="23" customFormat="false" ht="15" hidden="false" customHeight="false" outlineLevel="0" collapsed="false">
      <c r="A23" s="8" t="s">
        <v>70</v>
      </c>
      <c r="B23" s="9" t="n">
        <v>10</v>
      </c>
      <c r="C23" s="5"/>
      <c r="D23" s="5"/>
      <c r="E23" s="8" t="s">
        <v>35</v>
      </c>
      <c r="F23" s="8" t="s">
        <v>71</v>
      </c>
    </row>
    <row r="24" customFormat="false" ht="15" hidden="false" customHeight="false" outlineLevel="0" collapsed="false">
      <c r="A24" s="8" t="s">
        <v>72</v>
      </c>
      <c r="B24" s="9" t="n">
        <v>2</v>
      </c>
      <c r="C24" s="5"/>
      <c r="D24" s="5"/>
      <c r="E24" s="8" t="s">
        <v>35</v>
      </c>
      <c r="F24" s="8" t="s">
        <v>73</v>
      </c>
    </row>
    <row r="25" customFormat="false" ht="15" hidden="false" customHeight="false" outlineLevel="0" collapsed="false">
      <c r="A25" s="8" t="s">
        <v>74</v>
      </c>
      <c r="B25" s="11" t="n">
        <v>12</v>
      </c>
      <c r="C25" s="5"/>
      <c r="D25" s="5"/>
      <c r="E25" s="8" t="s">
        <v>64</v>
      </c>
      <c r="F25" s="8" t="s">
        <v>75</v>
      </c>
    </row>
    <row r="26" customFormat="false" ht="15" hidden="false" customHeight="false" outlineLevel="0" collapsed="false">
      <c r="A26" s="8" t="s">
        <v>76</v>
      </c>
      <c r="B26" s="11" t="n">
        <v>10</v>
      </c>
      <c r="C26" s="5"/>
      <c r="D26" s="5"/>
      <c r="E26" s="8" t="s">
        <v>64</v>
      </c>
      <c r="F26" s="8" t="s">
        <v>77</v>
      </c>
    </row>
    <row r="27" customFormat="false" ht="15" hidden="false" customHeight="false" outlineLevel="0" collapsed="false">
      <c r="A27" s="8" t="s">
        <v>78</v>
      </c>
      <c r="B27" s="9" t="n">
        <v>420</v>
      </c>
      <c r="C27" s="5"/>
      <c r="D27" s="5"/>
      <c r="E27" s="8" t="s">
        <v>35</v>
      </c>
      <c r="F27" s="8" t="s">
        <v>79</v>
      </c>
    </row>
    <row r="28" customFormat="false" ht="15" hidden="false" customHeight="false" outlineLevel="0" collapsed="false">
      <c r="A28" s="8" t="s">
        <v>80</v>
      </c>
      <c r="B28" s="9" t="n">
        <v>1.5</v>
      </c>
      <c r="C28" s="5"/>
      <c r="D28" s="5"/>
      <c r="E28" s="8" t="s">
        <v>35</v>
      </c>
      <c r="F28" s="12" t="s">
        <v>81</v>
      </c>
    </row>
    <row r="29" customFormat="false" ht="15" hidden="false" customHeight="false" outlineLevel="0" collapsed="false">
      <c r="A29" s="8" t="s">
        <v>82</v>
      </c>
      <c r="B29" s="9" t="n">
        <v>1.3</v>
      </c>
      <c r="C29" s="5"/>
      <c r="D29" s="5"/>
      <c r="E29" s="8" t="s">
        <v>35</v>
      </c>
      <c r="F29" s="12" t="s">
        <v>83</v>
      </c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</row>
    <row r="31" customFormat="false" ht="15" hidden="false" customHeight="false" outlineLevel="0" collapsed="false">
      <c r="A31" s="7" t="s">
        <v>84</v>
      </c>
      <c r="B31" s="7" t="s">
        <v>26</v>
      </c>
      <c r="C31" s="7"/>
      <c r="D31" s="7"/>
      <c r="E31" s="7" t="s">
        <v>32</v>
      </c>
      <c r="F31" s="7" t="s">
        <v>85</v>
      </c>
    </row>
    <row r="32" customFormat="false" ht="15" hidden="false" customHeight="false" outlineLevel="0" collapsed="false">
      <c r="A32" s="13" t="n">
        <v>0</v>
      </c>
      <c r="B32" s="9" t="n">
        <v>1</v>
      </c>
      <c r="C32" s="5"/>
      <c r="D32" s="5"/>
      <c r="E32" s="8" t="s">
        <v>35</v>
      </c>
      <c r="F32" s="5"/>
    </row>
    <row r="33" customFormat="false" ht="15" hidden="false" customHeight="false" outlineLevel="0" collapsed="false">
      <c r="A33" s="13" t="n">
        <v>1</v>
      </c>
      <c r="B33" s="9" t="n">
        <v>1.1</v>
      </c>
      <c r="C33" s="5"/>
      <c r="D33" s="5"/>
      <c r="E33" s="8" t="s">
        <v>35</v>
      </c>
      <c r="F33" s="5"/>
    </row>
    <row r="34" customFormat="false" ht="15" hidden="false" customHeight="false" outlineLevel="0" collapsed="false">
      <c r="A34" s="13" t="n">
        <v>2</v>
      </c>
      <c r="B34" s="9" t="n">
        <v>1.2</v>
      </c>
      <c r="C34" s="5"/>
      <c r="D34" s="5"/>
      <c r="E34" s="8" t="s">
        <v>35</v>
      </c>
      <c r="F34" s="5"/>
    </row>
    <row r="35" customFormat="false" ht="15" hidden="false" customHeight="false" outlineLevel="0" collapsed="false">
      <c r="A35" s="13" t="n">
        <v>3</v>
      </c>
      <c r="B35" s="9" t="n">
        <v>1.3</v>
      </c>
      <c r="C35" s="5"/>
      <c r="D35" s="5"/>
      <c r="E35" s="8" t="s">
        <v>35</v>
      </c>
      <c r="F35" s="12" t="s">
        <v>86</v>
      </c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</row>
    <row r="37" customFormat="false" ht="15" hidden="false" customHeight="false" outlineLevel="0" collapsed="false">
      <c r="A37" s="7" t="s">
        <v>87</v>
      </c>
      <c r="B37" s="7" t="s">
        <v>26</v>
      </c>
      <c r="C37" s="7"/>
      <c r="D37" s="7"/>
      <c r="E37" s="7" t="s">
        <v>32</v>
      </c>
      <c r="F37" s="7" t="s">
        <v>85</v>
      </c>
    </row>
    <row r="38" customFormat="false" ht="15" hidden="false" customHeight="false" outlineLevel="0" collapsed="false">
      <c r="A38" s="13" t="n">
        <v>0</v>
      </c>
      <c r="B38" s="9" t="n">
        <v>1</v>
      </c>
      <c r="C38" s="5"/>
      <c r="D38" s="5"/>
      <c r="E38" s="8" t="s">
        <v>35</v>
      </c>
      <c r="F38" s="12" t="s">
        <v>88</v>
      </c>
    </row>
    <row r="39" customFormat="false" ht="15" hidden="false" customHeight="false" outlineLevel="0" collapsed="false">
      <c r="A39" s="13" t="n">
        <v>1</v>
      </c>
      <c r="B39" s="9" t="n">
        <v>1.1</v>
      </c>
      <c r="C39" s="5"/>
      <c r="D39" s="5"/>
      <c r="E39" s="8" t="s">
        <v>35</v>
      </c>
      <c r="F39" s="12" t="s">
        <v>89</v>
      </c>
    </row>
    <row r="40" customFormat="false" ht="15" hidden="false" customHeight="false" outlineLevel="0" collapsed="false">
      <c r="A40" s="13" t="n">
        <v>6</v>
      </c>
      <c r="B40" s="9" t="n">
        <v>1.25</v>
      </c>
      <c r="C40" s="5"/>
      <c r="D40" s="5"/>
      <c r="E40" s="8" t="s">
        <v>35</v>
      </c>
      <c r="F40" s="12" t="s">
        <v>90</v>
      </c>
    </row>
    <row r="41" customFormat="false" ht="15" hidden="false" customHeight="false" outlineLevel="0" collapsed="false">
      <c r="A41" s="13" t="n">
        <v>16</v>
      </c>
      <c r="B41" s="9" t="n">
        <v>1.4</v>
      </c>
      <c r="C41" s="5"/>
      <c r="D41" s="5"/>
      <c r="E41" s="8" t="s">
        <v>35</v>
      </c>
      <c r="F41" s="1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9" min="5" style="0" width="7"/>
    <col collapsed="false" customWidth="true" hidden="false" outlineLevel="0" max="10" min="10" style="0" width="6"/>
    <col collapsed="false" customWidth="true" hidden="false" outlineLevel="0" max="12" min="11" style="0" width="9"/>
    <col collapsed="false" customWidth="true" hidden="false" outlineLevel="0" max="13" min="13" style="0" width="46"/>
  </cols>
  <sheetData>
    <row r="1" customFormat="false" ht="16.4" hidden="false" customHeight="false" outlineLevel="0" collapsed="false">
      <c r="A1" s="4" t="s">
        <v>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15" hidden="false" customHeight="false" outlineLevel="0" collapsed="false">
      <c r="A2" s="6" t="s">
        <v>93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0.7" hidden="false" customHeight="false" outlineLevel="0" collapsed="false">
      <c r="A4" s="14" t="s">
        <v>94</v>
      </c>
      <c r="B4" s="7" t="s">
        <v>95</v>
      </c>
      <c r="C4" s="7" t="s">
        <v>96</v>
      </c>
      <c r="D4" s="7" t="s">
        <v>97</v>
      </c>
      <c r="E4" s="7" t="s">
        <v>98</v>
      </c>
      <c r="F4" s="7" t="s">
        <v>99</v>
      </c>
      <c r="G4" s="7" t="s">
        <v>100</v>
      </c>
      <c r="H4" s="7" t="s">
        <v>101</v>
      </c>
      <c r="I4" s="5"/>
      <c r="J4" s="5"/>
      <c r="K4" s="5"/>
      <c r="L4" s="5"/>
      <c r="M4" s="5"/>
    </row>
    <row r="5" customFormat="false" ht="15" hidden="false" customHeight="false" outlineLevel="0" collapsed="false">
      <c r="A5" s="15" t="s">
        <v>102</v>
      </c>
      <c r="B5" s="9" t="n">
        <v>2</v>
      </c>
      <c r="C5" s="16" t="n">
        <f aca="false">COUNTIFS($A$12:$A$70,A5,$D$12:$D$70,"必須")</f>
        <v>9</v>
      </c>
      <c r="D5" s="16" t="n">
        <f aca="false">COUNTIFS($A$12:$A$70,A5,$D$12:$D$70,"できれば")</f>
        <v>3</v>
      </c>
      <c r="E5" s="16" t="n">
        <f aca="false">COUNTIFS($A$12:$A$70,A5,$D$12:$D$70,"カット可")</f>
        <v>1</v>
      </c>
      <c r="F5" s="17" t="n">
        <f aca="false">INDEX(シーン見積!$AD$4:$AD$25,MATCH("2",シーン見積!$A$4:$A$25,0))</f>
        <v>173</v>
      </c>
      <c r="G5" s="18" t="n">
        <f aca="false">INDEX(シーン見積!$AP$4:$AP$25,MATCH("2",シーン見積!$A$4:$A$25,0))</f>
        <v>159</v>
      </c>
      <c r="H5" s="12" t="n">
        <f aca="false">G5-F5</f>
        <v>-14</v>
      </c>
      <c r="I5" s="5"/>
      <c r="J5" s="5"/>
      <c r="K5" s="5"/>
      <c r="L5" s="5"/>
      <c r="M5" s="5"/>
    </row>
    <row r="6" customFormat="false" ht="15" hidden="false" customHeight="false" outlineLevel="0" collapsed="false">
      <c r="A6" s="15" t="s">
        <v>103</v>
      </c>
      <c r="B6" s="9" t="n">
        <v>2</v>
      </c>
      <c r="C6" s="16" t="n">
        <f aca="false">COUNTIFS($A$12:$A$70,A6,$D$12:$D$70,"必須")</f>
        <v>7</v>
      </c>
      <c r="D6" s="16" t="n">
        <f aca="false">COUNTIFS($A$12:$A$70,A6,$D$12:$D$70,"できれば")</f>
        <v>2</v>
      </c>
      <c r="E6" s="16" t="n">
        <f aca="false">COUNTIFS($A$12:$A$70,A6,$D$12:$D$70,"カット可")</f>
        <v>1</v>
      </c>
      <c r="F6" s="17" t="n">
        <f aca="false">INDEX(シーン見積!$AD$4:$AD$25,MATCH("5",シーン見積!$A$4:$A$25,0))</f>
        <v>125</v>
      </c>
      <c r="G6" s="18" t="n">
        <f aca="false">INDEX(シーン見積!$AP$4:$AP$25,MATCH("5",シーン見積!$A$4:$A$25,0))</f>
        <v>91</v>
      </c>
      <c r="H6" s="12" t="n">
        <f aca="false">G6-F6</f>
        <v>-34</v>
      </c>
      <c r="I6" s="5"/>
      <c r="J6" s="5"/>
      <c r="K6" s="5"/>
      <c r="L6" s="5"/>
      <c r="M6" s="5"/>
    </row>
    <row r="7" customFormat="false" ht="15" hidden="false" customHeight="false" outlineLevel="0" collapsed="false">
      <c r="A7" s="15" t="s">
        <v>104</v>
      </c>
      <c r="B7" s="9" t="n">
        <v>1</v>
      </c>
      <c r="C7" s="16" t="n">
        <f aca="false">COUNTIFS($A$12:$A$70,A7,$D$12:$D$70,"必須")</f>
        <v>8</v>
      </c>
      <c r="D7" s="16" t="n">
        <f aca="false">COUNTIFS($A$12:$A$70,A7,$D$12:$D$70,"できれば")</f>
        <v>3</v>
      </c>
      <c r="E7" s="16" t="n">
        <f aca="false">COUNTIFS($A$12:$A$70,A7,$D$12:$D$70,"カット可")</f>
        <v>1</v>
      </c>
      <c r="F7" s="17" t="n">
        <f aca="false">INDEX(シーン見積!$AD$4:$AD$25,MATCH("15",シーン見積!$A$4:$A$25,0))</f>
        <v>235</v>
      </c>
      <c r="G7" s="18" t="n">
        <f aca="false">INDEX(シーン見積!$AP$4:$AP$25,MATCH("15",シーン見積!$A$4:$A$25,0))</f>
        <v>158</v>
      </c>
      <c r="H7" s="12" t="n">
        <f aca="false">G7-F7</f>
        <v>-77</v>
      </c>
      <c r="I7" s="5"/>
      <c r="J7" s="5"/>
      <c r="K7" s="5"/>
      <c r="L7" s="5"/>
      <c r="M7" s="5"/>
    </row>
    <row r="8" customFormat="false" ht="15" hidden="false" customHeight="false" outlineLevel="0" collapsed="false">
      <c r="A8" s="15" t="s">
        <v>105</v>
      </c>
      <c r="B8" s="9" t="n">
        <v>1</v>
      </c>
      <c r="C8" s="16" t="n">
        <f aca="false">COUNTIFS($A$12:$A$70,A8,$D$12:$D$70,"必須")</f>
        <v>4</v>
      </c>
      <c r="D8" s="16" t="n">
        <f aca="false">COUNTIFS($A$12:$A$70,A8,$D$12:$D$70,"できれば")</f>
        <v>2</v>
      </c>
      <c r="E8" s="16" t="n">
        <f aca="false">COUNTIFS($A$12:$A$70,A8,$D$12:$D$70,"カット可")</f>
        <v>0</v>
      </c>
      <c r="F8" s="17" t="n">
        <f aca="false">INDEX(シーン見積!$AD$4:$AD$25,MATCH("18",シーン見積!$A$4:$A$25,0))</f>
        <v>69</v>
      </c>
      <c r="G8" s="18" t="n">
        <f aca="false">INDEX(シーン見積!$AP$4:$AP$25,MATCH("18",シーン見積!$A$4:$A$25,0))</f>
        <v>55</v>
      </c>
      <c r="H8" s="12" t="n">
        <f aca="false">G8-F8</f>
        <v>-14</v>
      </c>
      <c r="I8" s="5"/>
      <c r="J8" s="5"/>
      <c r="K8" s="5"/>
      <c r="L8" s="5"/>
      <c r="M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customFormat="false" ht="31.5" hidden="false" customHeight="true" outlineLevel="0" collapsed="false">
      <c r="A11" s="14" t="s">
        <v>94</v>
      </c>
      <c r="B11" s="7" t="s">
        <v>106</v>
      </c>
      <c r="C11" s="7" t="s">
        <v>107</v>
      </c>
      <c r="D11" s="7" t="s">
        <v>108</v>
      </c>
      <c r="E11" s="7" t="s">
        <v>109</v>
      </c>
      <c r="F11" s="7" t="s">
        <v>110</v>
      </c>
      <c r="G11" s="7" t="s">
        <v>111</v>
      </c>
      <c r="H11" s="7" t="s">
        <v>112</v>
      </c>
      <c r="I11" s="7" t="s">
        <v>113</v>
      </c>
      <c r="J11" s="7" t="s">
        <v>114</v>
      </c>
      <c r="K11" s="7" t="s">
        <v>115</v>
      </c>
      <c r="L11" s="7" t="s">
        <v>116</v>
      </c>
      <c r="M11" s="7" t="s">
        <v>117</v>
      </c>
    </row>
    <row r="12" customFormat="false" ht="15" hidden="false" customHeight="false" outlineLevel="0" collapsed="false">
      <c r="A12" s="12" t="s">
        <v>102</v>
      </c>
      <c r="B12" s="12" t="s">
        <v>118</v>
      </c>
      <c r="C12" s="8" t="s">
        <v>119</v>
      </c>
      <c r="D12" s="19" t="s">
        <v>120</v>
      </c>
      <c r="E12" s="12" t="n">
        <f aca="false">MATCH(D12,{"必須","できれば","カット可"},0)</f>
        <v>1</v>
      </c>
      <c r="F12" s="9" t="n">
        <v>15</v>
      </c>
      <c r="G12" s="13" t="n">
        <v>0</v>
      </c>
      <c r="H12" s="13" t="n">
        <v>0</v>
      </c>
      <c r="I12" s="13" t="n">
        <v>0</v>
      </c>
      <c r="J12" s="12" t="n">
        <f aca="false">IF(E12&lt;=INDEX($B$5:$B$8,MATCH(A12,$A$5:$A$8,0)),1,0)</f>
        <v>1</v>
      </c>
      <c r="K12" s="20" t="n">
        <f aca="false">IF(B12="末尾",係数!$C$4*INDEX(シーン見積!$V$4:$V$25,MATCH(A12,シーン見積!$A$4:$A$25,0))*F12/60,係数!$C$5+係数!$C$4*INDEX(シーン見積!$V$4:$V$25,MATCH(A12,シーン見積!$A$4:$A$25,0))*(F12/60+係数!$C$6+INDEX(シーン見積!$Q$4:$Q$25,MATCH(A12,シーン見積!$A$4:$A$25,0))*係数!$C$7)*(1+G12*係数!$C$13)+係数!$C$8+H12*係数!$C$9)</f>
        <v>13.17</v>
      </c>
      <c r="L12" s="20" t="n">
        <f aca="false">IF(B12="末尾",係数!$D$4*INDEX(シーン見積!$V$4:$V$25,MATCH(A12,シーン見積!$A$4:$A$25,0))*F12/60,係数!$D$5+係数!$D$4*INDEX(シーン見積!$V$4:$V$25,MATCH(A12,シーン見積!$A$4:$A$25,0))*(F12/60+係数!$D$6+INDEX(シーン見積!$Q$4:$Q$25,MATCH(A12,シーン見積!$A$4:$A$25,0))*係数!$D$7)*(1+G12*係数!$D$13)+係数!$D$8+H12*係数!$D$9)</f>
        <v>19.135</v>
      </c>
      <c r="M12" s="8" t="s">
        <v>121</v>
      </c>
    </row>
    <row r="13" customFormat="false" ht="15" hidden="false" customHeight="false" outlineLevel="0" collapsed="false">
      <c r="A13" s="12" t="s">
        <v>102</v>
      </c>
      <c r="B13" s="12" t="s">
        <v>122</v>
      </c>
      <c r="C13" s="8" t="s">
        <v>123</v>
      </c>
      <c r="D13" s="19" t="s">
        <v>120</v>
      </c>
      <c r="E13" s="12" t="n">
        <f aca="false">MATCH(D13,{"必須","できれば","カット可"},0)</f>
        <v>1</v>
      </c>
      <c r="F13" s="9" t="n">
        <v>30</v>
      </c>
      <c r="G13" s="13" t="n">
        <v>1</v>
      </c>
      <c r="H13" s="13" t="n">
        <v>0</v>
      </c>
      <c r="I13" s="13" t="n">
        <v>0</v>
      </c>
      <c r="J13" s="12" t="n">
        <f aca="false">IF(E13&lt;=INDEX($B$5:$B$8,MATCH(A13,$A$5:$A$8,0)),1,0)</f>
        <v>1</v>
      </c>
      <c r="K13" s="20" t="n">
        <f aca="false">IF(B13="末尾",係数!$C$4*INDEX(シーン見積!$V$4:$V$25,MATCH(A13,シーン見積!$A$4:$A$25,0))*F13/60,係数!$C$5+係数!$C$4*INDEX(シーン見積!$V$4:$V$25,MATCH(A13,シーン見積!$A$4:$A$25,0))*(F13/60+係数!$C$6+INDEX(シーン見積!$Q$4:$Q$25,MATCH(A13,シーン見積!$A$4:$A$25,0))*係数!$C$7)*(1+G13*係数!$C$13)+係数!$C$8+H13*係数!$C$9)</f>
        <v>18.03</v>
      </c>
      <c r="L13" s="20" t="n">
        <f aca="false">IF(B13="末尾",係数!$D$4*INDEX(シーン見積!$V$4:$V$25,MATCH(A13,シーン見積!$A$4:$A$25,0))*F13/60,係数!$D$5+係数!$D$4*INDEX(シーン見積!$V$4:$V$25,MATCH(A13,シーン見積!$A$4:$A$25,0))*(F13/60+係数!$D$6+INDEX(シーン見積!$Q$4:$Q$25,MATCH(A13,シーン見積!$A$4:$A$25,0))*係数!$D$7)*(1+G13*係数!$D$13)+係数!$D$8+H13*係数!$D$9)</f>
        <v>26.065</v>
      </c>
      <c r="M13" s="8" t="s">
        <v>124</v>
      </c>
    </row>
    <row r="14" customFormat="false" ht="15" hidden="false" customHeight="false" outlineLevel="0" collapsed="false">
      <c r="A14" s="12" t="s">
        <v>102</v>
      </c>
      <c r="B14" s="12" t="s">
        <v>125</v>
      </c>
      <c r="C14" s="8" t="s">
        <v>126</v>
      </c>
      <c r="D14" s="19" t="s">
        <v>120</v>
      </c>
      <c r="E14" s="12" t="n">
        <f aca="false">MATCH(D14,{"必須","できれば","カット可"},0)</f>
        <v>1</v>
      </c>
      <c r="F14" s="9" t="n">
        <v>10</v>
      </c>
      <c r="G14" s="13" t="n">
        <v>0</v>
      </c>
      <c r="H14" s="13" t="n">
        <v>0</v>
      </c>
      <c r="I14" s="13" t="n">
        <v>0</v>
      </c>
      <c r="J14" s="12" t="n">
        <f aca="false">IF(E14&lt;=INDEX($B$5:$B$8,MATCH(A14,$A$5:$A$8,0)),1,0)</f>
        <v>1</v>
      </c>
      <c r="K14" s="20" t="n">
        <f aca="false">IF(B14="末尾",係数!$C$4*INDEX(シーン見積!$V$4:$V$25,MATCH(A14,シーン見積!$A$4:$A$25,0))*F14/60,係数!$C$5+係数!$C$4*INDEX(シーン見積!$V$4:$V$25,MATCH(A14,シーン見積!$A$4:$A$25,0))*(F14/60+係数!$C$6+INDEX(シーン見積!$Q$4:$Q$25,MATCH(A14,シーン見積!$A$4:$A$25,0))*係数!$C$7)*(1+G14*係数!$C$13)+係数!$C$8+H14*係数!$C$9)</f>
        <v>12.72</v>
      </c>
      <c r="L14" s="20" t="n">
        <f aca="false">IF(B14="末尾",係数!$D$4*INDEX(シーン見積!$V$4:$V$25,MATCH(A14,シーン見積!$A$4:$A$25,0))*F14/60,係数!$D$5+係数!$D$4*INDEX(シーン見積!$V$4:$V$25,MATCH(A14,シーン見積!$A$4:$A$25,0))*(F14/60+係数!$D$6+INDEX(シーン見積!$Q$4:$Q$25,MATCH(A14,シーン見積!$A$4:$A$25,0))*係数!$D$7)*(1+G14*係数!$D$13)+係数!$D$8+H14*係数!$D$9)</f>
        <v>18.61</v>
      </c>
      <c r="M14" s="8" t="s">
        <v>127</v>
      </c>
    </row>
    <row r="15" customFormat="false" ht="15" hidden="false" customHeight="false" outlineLevel="0" collapsed="false">
      <c r="A15" s="12" t="s">
        <v>102</v>
      </c>
      <c r="B15" s="12" t="s">
        <v>128</v>
      </c>
      <c r="C15" s="8" t="s">
        <v>129</v>
      </c>
      <c r="D15" s="19" t="s">
        <v>120</v>
      </c>
      <c r="E15" s="12" t="n">
        <f aca="false">MATCH(D15,{"必須","できれば","カット可"},0)</f>
        <v>1</v>
      </c>
      <c r="F15" s="9" t="n">
        <v>15</v>
      </c>
      <c r="G15" s="13" t="n">
        <v>0</v>
      </c>
      <c r="H15" s="13" t="n">
        <v>0</v>
      </c>
      <c r="I15" s="13" t="n">
        <v>0</v>
      </c>
      <c r="J15" s="12" t="n">
        <f aca="false">IF(E15&lt;=INDEX($B$5:$B$8,MATCH(A15,$A$5:$A$8,0)),1,0)</f>
        <v>1</v>
      </c>
      <c r="K15" s="20" t="n">
        <f aca="false">IF(B15="末尾",係数!$C$4*INDEX(シーン見積!$V$4:$V$25,MATCH(A15,シーン見積!$A$4:$A$25,0))*F15/60,係数!$C$5+係数!$C$4*INDEX(シーン見積!$V$4:$V$25,MATCH(A15,シーン見積!$A$4:$A$25,0))*(F15/60+係数!$C$6+INDEX(シーン見積!$Q$4:$Q$25,MATCH(A15,シーン見積!$A$4:$A$25,0))*係数!$C$7)*(1+G15*係数!$C$13)+係数!$C$8+H15*係数!$C$9)</f>
        <v>13.17</v>
      </c>
      <c r="L15" s="20" t="n">
        <f aca="false">IF(B15="末尾",係数!$D$4*INDEX(シーン見積!$V$4:$V$25,MATCH(A15,シーン見積!$A$4:$A$25,0))*F15/60,係数!$D$5+係数!$D$4*INDEX(シーン見積!$V$4:$V$25,MATCH(A15,シーン見積!$A$4:$A$25,0))*(F15/60+係数!$D$6+INDEX(シーン見積!$Q$4:$Q$25,MATCH(A15,シーン見積!$A$4:$A$25,0))*係数!$D$7)*(1+G15*係数!$D$13)+係数!$D$8+H15*係数!$D$9)</f>
        <v>19.135</v>
      </c>
      <c r="M15" s="8" t="s">
        <v>130</v>
      </c>
    </row>
    <row r="16" customFormat="false" ht="15" hidden="false" customHeight="false" outlineLevel="0" collapsed="false">
      <c r="A16" s="12" t="s">
        <v>102</v>
      </c>
      <c r="B16" s="12" t="s">
        <v>131</v>
      </c>
      <c r="C16" s="8" t="s">
        <v>132</v>
      </c>
      <c r="D16" s="19" t="s">
        <v>120</v>
      </c>
      <c r="E16" s="12" t="n">
        <f aca="false">MATCH(D16,{"必須","できれば","カット可"},0)</f>
        <v>1</v>
      </c>
      <c r="F16" s="9" t="n">
        <v>15</v>
      </c>
      <c r="G16" s="13" t="n">
        <v>0</v>
      </c>
      <c r="H16" s="13" t="n">
        <v>0</v>
      </c>
      <c r="I16" s="13" t="n">
        <v>0</v>
      </c>
      <c r="J16" s="12" t="n">
        <f aca="false">IF(E16&lt;=INDEX($B$5:$B$8,MATCH(A16,$A$5:$A$8,0)),1,0)</f>
        <v>1</v>
      </c>
      <c r="K16" s="20" t="n">
        <f aca="false">IF(B16="末尾",係数!$C$4*INDEX(シーン見積!$V$4:$V$25,MATCH(A16,シーン見積!$A$4:$A$25,0))*F16/60,係数!$C$5+係数!$C$4*INDEX(シーン見積!$V$4:$V$25,MATCH(A16,シーン見積!$A$4:$A$25,0))*(F16/60+係数!$C$6+INDEX(シーン見積!$Q$4:$Q$25,MATCH(A16,シーン見積!$A$4:$A$25,0))*係数!$C$7)*(1+G16*係数!$C$13)+係数!$C$8+H16*係数!$C$9)</f>
        <v>13.17</v>
      </c>
      <c r="L16" s="20" t="n">
        <f aca="false">IF(B16="末尾",係数!$D$4*INDEX(シーン見積!$V$4:$V$25,MATCH(A16,シーン見積!$A$4:$A$25,0))*F16/60,係数!$D$5+係数!$D$4*INDEX(シーン見積!$V$4:$V$25,MATCH(A16,シーン見積!$A$4:$A$25,0))*(F16/60+係数!$D$6+INDEX(シーン見積!$Q$4:$Q$25,MATCH(A16,シーン見積!$A$4:$A$25,0))*係数!$D$7)*(1+G16*係数!$D$13)+係数!$D$8+H16*係数!$D$9)</f>
        <v>19.135</v>
      </c>
      <c r="M16" s="8" t="s">
        <v>133</v>
      </c>
    </row>
    <row r="17" customFormat="false" ht="15" hidden="false" customHeight="false" outlineLevel="0" collapsed="false">
      <c r="A17" s="12" t="s">
        <v>102</v>
      </c>
      <c r="B17" s="12" t="s">
        <v>134</v>
      </c>
      <c r="C17" s="8" t="s">
        <v>135</v>
      </c>
      <c r="D17" s="19" t="s">
        <v>97</v>
      </c>
      <c r="E17" s="12" t="n">
        <f aca="false">MATCH(D17,{"必須","できれば","カット可"},0)</f>
        <v>2</v>
      </c>
      <c r="F17" s="9" t="n">
        <v>10</v>
      </c>
      <c r="G17" s="13" t="n">
        <v>0</v>
      </c>
      <c r="H17" s="13" t="n">
        <v>0</v>
      </c>
      <c r="I17" s="13" t="n">
        <v>0</v>
      </c>
      <c r="J17" s="12" t="n">
        <f aca="false">IF(E17&lt;=INDEX($B$5:$B$8,MATCH(A17,$A$5:$A$8,0)),1,0)</f>
        <v>1</v>
      </c>
      <c r="K17" s="20" t="n">
        <f aca="false">IF(B17="末尾",係数!$C$4*INDEX(シーン見積!$V$4:$V$25,MATCH(A17,シーン見積!$A$4:$A$25,0))*F17/60,係数!$C$5+係数!$C$4*INDEX(シーン見積!$V$4:$V$25,MATCH(A17,シーン見積!$A$4:$A$25,0))*(F17/60+係数!$C$6+INDEX(シーン見積!$Q$4:$Q$25,MATCH(A17,シーン見積!$A$4:$A$25,0))*係数!$C$7)*(1+G17*係数!$C$13)+係数!$C$8+H17*係数!$C$9)</f>
        <v>12.72</v>
      </c>
      <c r="L17" s="20" t="n">
        <f aca="false">IF(B17="末尾",係数!$D$4*INDEX(シーン見積!$V$4:$V$25,MATCH(A17,シーン見積!$A$4:$A$25,0))*F17/60,係数!$D$5+係数!$D$4*INDEX(シーン見積!$V$4:$V$25,MATCH(A17,シーン見積!$A$4:$A$25,0))*(F17/60+係数!$D$6+INDEX(シーン見積!$Q$4:$Q$25,MATCH(A17,シーン見積!$A$4:$A$25,0))*係数!$D$7)*(1+G17*係数!$D$13)+係数!$D$8+H17*係数!$D$9)</f>
        <v>18.61</v>
      </c>
      <c r="M17" s="12" t="s">
        <v>136</v>
      </c>
    </row>
    <row r="18" customFormat="false" ht="15" hidden="false" customHeight="false" outlineLevel="0" collapsed="false">
      <c r="A18" s="12" t="s">
        <v>102</v>
      </c>
      <c r="B18" s="12" t="s">
        <v>137</v>
      </c>
      <c r="C18" s="8" t="s">
        <v>138</v>
      </c>
      <c r="D18" s="19" t="s">
        <v>120</v>
      </c>
      <c r="E18" s="12" t="n">
        <f aca="false">MATCH(D18,{"必須","できれば","カット可"},0)</f>
        <v>1</v>
      </c>
      <c r="F18" s="9" t="n">
        <v>15</v>
      </c>
      <c r="G18" s="13" t="n">
        <v>0</v>
      </c>
      <c r="H18" s="13" t="n">
        <v>0</v>
      </c>
      <c r="I18" s="13" t="n">
        <v>0</v>
      </c>
      <c r="J18" s="12" t="n">
        <f aca="false">IF(E18&lt;=INDEX($B$5:$B$8,MATCH(A18,$A$5:$A$8,0)),1,0)</f>
        <v>1</v>
      </c>
      <c r="K18" s="20" t="n">
        <f aca="false">IF(B18="末尾",係数!$C$4*INDEX(シーン見積!$V$4:$V$25,MATCH(A18,シーン見積!$A$4:$A$25,0))*F18/60,係数!$C$5+係数!$C$4*INDEX(シーン見積!$V$4:$V$25,MATCH(A18,シーン見積!$A$4:$A$25,0))*(F18/60+係数!$C$6+INDEX(シーン見積!$Q$4:$Q$25,MATCH(A18,シーン見積!$A$4:$A$25,0))*係数!$C$7)*(1+G18*係数!$C$13)+係数!$C$8+H18*係数!$C$9)</f>
        <v>13.17</v>
      </c>
      <c r="L18" s="20" t="n">
        <f aca="false">IF(B18="末尾",係数!$D$4*INDEX(シーン見積!$V$4:$V$25,MATCH(A18,シーン見積!$A$4:$A$25,0))*F18/60,係数!$D$5+係数!$D$4*INDEX(シーン見積!$V$4:$V$25,MATCH(A18,シーン見積!$A$4:$A$25,0))*(F18/60+係数!$D$6+INDEX(シーン見積!$Q$4:$Q$25,MATCH(A18,シーン見積!$A$4:$A$25,0))*係数!$D$7)*(1+G18*係数!$D$13)+係数!$D$8+H18*係数!$D$9)</f>
        <v>19.135</v>
      </c>
      <c r="M18" s="8" t="s">
        <v>139</v>
      </c>
    </row>
    <row r="19" customFormat="false" ht="15" hidden="false" customHeight="false" outlineLevel="0" collapsed="false">
      <c r="A19" s="12" t="s">
        <v>102</v>
      </c>
      <c r="B19" s="12" t="s">
        <v>140</v>
      </c>
      <c r="C19" s="8" t="s">
        <v>141</v>
      </c>
      <c r="D19" s="19" t="s">
        <v>120</v>
      </c>
      <c r="E19" s="12" t="n">
        <f aca="false">MATCH(D19,{"必須","できれば","カット可"},0)</f>
        <v>1</v>
      </c>
      <c r="F19" s="9" t="n">
        <v>8</v>
      </c>
      <c r="G19" s="13" t="n">
        <v>0</v>
      </c>
      <c r="H19" s="13" t="n">
        <v>0</v>
      </c>
      <c r="I19" s="13" t="n">
        <v>0</v>
      </c>
      <c r="J19" s="12" t="n">
        <f aca="false">IF(E19&lt;=INDEX($B$5:$B$8,MATCH(A19,$A$5:$A$8,0)),1,0)</f>
        <v>1</v>
      </c>
      <c r="K19" s="20" t="n">
        <f aca="false">IF(B19="末尾",係数!$C$4*INDEX(シーン見積!$V$4:$V$25,MATCH(A19,シーン見積!$A$4:$A$25,0))*F19/60,係数!$C$5+係数!$C$4*INDEX(シーン見積!$V$4:$V$25,MATCH(A19,シーン見積!$A$4:$A$25,0))*(F19/60+係数!$C$6+INDEX(シーン見積!$Q$4:$Q$25,MATCH(A19,シーン見積!$A$4:$A$25,0))*係数!$C$7)*(1+G19*係数!$C$13)+係数!$C$8+H19*係数!$C$9)</f>
        <v>12.54</v>
      </c>
      <c r="L19" s="20" t="n">
        <f aca="false">IF(B19="末尾",係数!$D$4*INDEX(シーン見積!$V$4:$V$25,MATCH(A19,シーン見積!$A$4:$A$25,0))*F19/60,係数!$D$5+係数!$D$4*INDEX(シーン見積!$V$4:$V$25,MATCH(A19,シーン見積!$A$4:$A$25,0))*(F19/60+係数!$D$6+INDEX(シーン見積!$Q$4:$Q$25,MATCH(A19,シーン見積!$A$4:$A$25,0))*係数!$D$7)*(1+G19*係数!$D$13)+係数!$D$8+H19*係数!$D$9)</f>
        <v>18.4</v>
      </c>
      <c r="M19" s="8" t="s">
        <v>142</v>
      </c>
    </row>
    <row r="20" customFormat="false" ht="15" hidden="false" customHeight="false" outlineLevel="0" collapsed="false">
      <c r="A20" s="12" t="s">
        <v>102</v>
      </c>
      <c r="B20" s="12" t="s">
        <v>143</v>
      </c>
      <c r="C20" s="8" t="s">
        <v>144</v>
      </c>
      <c r="D20" s="19" t="s">
        <v>120</v>
      </c>
      <c r="E20" s="12" t="n">
        <f aca="false">MATCH(D20,{"必須","できれば","カット可"},0)</f>
        <v>1</v>
      </c>
      <c r="F20" s="9" t="n">
        <v>12</v>
      </c>
      <c r="G20" s="13" t="n">
        <v>0</v>
      </c>
      <c r="H20" s="13" t="n">
        <v>0</v>
      </c>
      <c r="I20" s="13" t="n">
        <v>0</v>
      </c>
      <c r="J20" s="12" t="n">
        <f aca="false">IF(E20&lt;=INDEX($B$5:$B$8,MATCH(A20,$A$5:$A$8,0)),1,0)</f>
        <v>1</v>
      </c>
      <c r="K20" s="20" t="n">
        <f aca="false">IF(B20="末尾",係数!$C$4*INDEX(シーン見積!$V$4:$V$25,MATCH(A20,シーン見積!$A$4:$A$25,0))*F20/60,係数!$C$5+係数!$C$4*INDEX(シーン見積!$V$4:$V$25,MATCH(A20,シーン見積!$A$4:$A$25,0))*(F20/60+係数!$C$6+INDEX(シーン見積!$Q$4:$Q$25,MATCH(A20,シーン見積!$A$4:$A$25,0))*係数!$C$7)*(1+G20*係数!$C$13)+係数!$C$8+H20*係数!$C$9)</f>
        <v>12.9</v>
      </c>
      <c r="L20" s="20" t="n">
        <f aca="false">IF(B20="末尾",係数!$D$4*INDEX(シーン見積!$V$4:$V$25,MATCH(A20,シーン見積!$A$4:$A$25,0))*F20/60,係数!$D$5+係数!$D$4*INDEX(シーン見積!$V$4:$V$25,MATCH(A20,シーン見積!$A$4:$A$25,0))*(F20/60+係数!$D$6+INDEX(シーン見積!$Q$4:$Q$25,MATCH(A20,シーン見積!$A$4:$A$25,0))*係数!$D$7)*(1+G20*係数!$D$13)+係数!$D$8+H20*係数!$D$9)</f>
        <v>18.82</v>
      </c>
      <c r="M20" s="8" t="s">
        <v>145</v>
      </c>
    </row>
    <row r="21" customFormat="false" ht="15" hidden="false" customHeight="false" outlineLevel="0" collapsed="false">
      <c r="A21" s="12" t="s">
        <v>102</v>
      </c>
      <c r="B21" s="12" t="s">
        <v>146</v>
      </c>
      <c r="C21" s="8" t="s">
        <v>147</v>
      </c>
      <c r="D21" s="19" t="s">
        <v>97</v>
      </c>
      <c r="E21" s="12" t="n">
        <f aca="false">MATCH(D21,{"必須","できれば","カット可"},0)</f>
        <v>2</v>
      </c>
      <c r="F21" s="9" t="n">
        <v>8</v>
      </c>
      <c r="G21" s="13" t="n">
        <v>0</v>
      </c>
      <c r="H21" s="13" t="n">
        <v>0</v>
      </c>
      <c r="I21" s="13" t="n">
        <v>0</v>
      </c>
      <c r="J21" s="12" t="n">
        <f aca="false">IF(E21&lt;=INDEX($B$5:$B$8,MATCH(A21,$A$5:$A$8,0)),1,0)</f>
        <v>1</v>
      </c>
      <c r="K21" s="20" t="n">
        <f aca="false">IF(B21="末尾",係数!$C$4*INDEX(シーン見積!$V$4:$V$25,MATCH(A21,シーン見積!$A$4:$A$25,0))*F21/60,係数!$C$5+係数!$C$4*INDEX(シーン見積!$V$4:$V$25,MATCH(A21,シーン見積!$A$4:$A$25,0))*(F21/60+係数!$C$6+INDEX(シーン見積!$Q$4:$Q$25,MATCH(A21,シーン見積!$A$4:$A$25,0))*係数!$C$7)*(1+G21*係数!$C$13)+係数!$C$8+H21*係数!$C$9)</f>
        <v>12.54</v>
      </c>
      <c r="L21" s="20" t="n">
        <f aca="false">IF(B21="末尾",係数!$D$4*INDEX(シーン見積!$V$4:$V$25,MATCH(A21,シーン見積!$A$4:$A$25,0))*F21/60,係数!$D$5+係数!$D$4*INDEX(シーン見積!$V$4:$V$25,MATCH(A21,シーン見積!$A$4:$A$25,0))*(F21/60+係数!$D$6+INDEX(シーン見積!$Q$4:$Q$25,MATCH(A21,シーン見積!$A$4:$A$25,0))*係数!$D$7)*(1+G21*係数!$D$13)+係数!$D$8+H21*係数!$D$9)</f>
        <v>18.4</v>
      </c>
      <c r="M21" s="8" t="s">
        <v>148</v>
      </c>
    </row>
    <row r="22" customFormat="false" ht="15" hidden="false" customHeight="false" outlineLevel="0" collapsed="false">
      <c r="A22" s="12" t="s">
        <v>102</v>
      </c>
      <c r="B22" s="12" t="s">
        <v>149</v>
      </c>
      <c r="C22" s="8" t="s">
        <v>150</v>
      </c>
      <c r="D22" s="19" t="s">
        <v>98</v>
      </c>
      <c r="E22" s="12" t="n">
        <f aca="false">MATCH(D22,{"必須","できれば","カット可"},0)</f>
        <v>3</v>
      </c>
      <c r="F22" s="9" t="n">
        <v>6</v>
      </c>
      <c r="G22" s="13" t="n">
        <v>0</v>
      </c>
      <c r="H22" s="13" t="n">
        <v>0</v>
      </c>
      <c r="I22" s="13" t="n">
        <v>0</v>
      </c>
      <c r="J22" s="12" t="n">
        <f aca="false">IF(E22&lt;=INDEX($B$5:$B$8,MATCH(A22,$A$5:$A$8,0)),1,0)</f>
        <v>0</v>
      </c>
      <c r="K22" s="20" t="n">
        <f aca="false">IF(B22="末尾",係数!$C$4*INDEX(シーン見積!$V$4:$V$25,MATCH(A22,シーン見積!$A$4:$A$25,0))*F22/60,係数!$C$5+係数!$C$4*INDEX(シーン見積!$V$4:$V$25,MATCH(A22,シーン見積!$A$4:$A$25,0))*(F22/60+係数!$C$6+INDEX(シーン見積!$Q$4:$Q$25,MATCH(A22,シーン見積!$A$4:$A$25,0))*係数!$C$7)*(1+G22*係数!$C$13)+係数!$C$8+H22*係数!$C$9)</f>
        <v>12.36</v>
      </c>
      <c r="L22" s="20" t="n">
        <f aca="false">IF(B22="末尾",係数!$D$4*INDEX(シーン見積!$V$4:$V$25,MATCH(A22,シーン見積!$A$4:$A$25,0))*F22/60,係数!$D$5+係数!$D$4*INDEX(シーン見積!$V$4:$V$25,MATCH(A22,シーン見積!$A$4:$A$25,0))*(F22/60+係数!$D$6+INDEX(シーン見積!$Q$4:$Q$25,MATCH(A22,シーン見積!$A$4:$A$25,0))*係数!$D$7)*(1+G22*係数!$D$13)+係数!$D$8+H22*係数!$D$9)</f>
        <v>18.19</v>
      </c>
      <c r="M22" s="8" t="s">
        <v>151</v>
      </c>
    </row>
    <row r="23" customFormat="false" ht="15" hidden="false" customHeight="false" outlineLevel="0" collapsed="false">
      <c r="A23" s="12" t="s">
        <v>102</v>
      </c>
      <c r="B23" s="12" t="s">
        <v>152</v>
      </c>
      <c r="C23" s="8" t="s">
        <v>153</v>
      </c>
      <c r="D23" s="19" t="s">
        <v>120</v>
      </c>
      <c r="E23" s="12" t="n">
        <f aca="false">MATCH(D23,{"必須","できれば","カット可"},0)</f>
        <v>1</v>
      </c>
      <c r="F23" s="9" t="n">
        <v>12</v>
      </c>
      <c r="G23" s="13" t="n">
        <v>0</v>
      </c>
      <c r="H23" s="13" t="n">
        <v>0</v>
      </c>
      <c r="I23" s="13" t="n">
        <v>0</v>
      </c>
      <c r="J23" s="12" t="n">
        <f aca="false">IF(E23&lt;=INDEX($B$5:$B$8,MATCH(A23,$A$5:$A$8,0)),1,0)</f>
        <v>1</v>
      </c>
      <c r="K23" s="20" t="n">
        <f aca="false">IF(B23="末尾",係数!$C$4*INDEX(シーン見積!$V$4:$V$25,MATCH(A23,シーン見積!$A$4:$A$25,0))*F23/60,係数!$C$5+係数!$C$4*INDEX(シーン見積!$V$4:$V$25,MATCH(A23,シーン見積!$A$4:$A$25,0))*(F23/60+係数!$C$6+INDEX(シーン見積!$Q$4:$Q$25,MATCH(A23,シーン見積!$A$4:$A$25,0))*係数!$C$7)*(1+G23*係数!$C$13)+係数!$C$8+H23*係数!$C$9)</f>
        <v>12.9</v>
      </c>
      <c r="L23" s="20" t="n">
        <f aca="false">IF(B23="末尾",係数!$D$4*INDEX(シーン見積!$V$4:$V$25,MATCH(A23,シーン見積!$A$4:$A$25,0))*F23/60,係数!$D$5+係数!$D$4*INDEX(シーン見積!$V$4:$V$25,MATCH(A23,シーン見積!$A$4:$A$25,0))*(F23/60+係数!$D$6+INDEX(シーン見積!$Q$4:$Q$25,MATCH(A23,シーン見積!$A$4:$A$25,0))*係数!$D$7)*(1+G23*係数!$D$13)+係数!$D$8+H23*係数!$D$9)</f>
        <v>18.82</v>
      </c>
      <c r="M23" s="8" t="s">
        <v>154</v>
      </c>
    </row>
    <row r="24" customFormat="false" ht="15" hidden="false" customHeight="false" outlineLevel="0" collapsed="false">
      <c r="A24" s="12" t="s">
        <v>102</v>
      </c>
      <c r="B24" s="12" t="s">
        <v>155</v>
      </c>
      <c r="C24" s="8" t="s">
        <v>156</v>
      </c>
      <c r="D24" s="19" t="s">
        <v>97</v>
      </c>
      <c r="E24" s="12" t="n">
        <f aca="false">MATCH(D24,{"必須","できれば","カット可"},0)</f>
        <v>2</v>
      </c>
      <c r="F24" s="9" t="n">
        <v>8</v>
      </c>
      <c r="G24" s="13" t="n">
        <v>0</v>
      </c>
      <c r="H24" s="13" t="n">
        <v>0</v>
      </c>
      <c r="I24" s="13" t="n">
        <v>0</v>
      </c>
      <c r="J24" s="12" t="n">
        <f aca="false">IF(E24&lt;=INDEX($B$5:$B$8,MATCH(A24,$A$5:$A$8,0)),1,0)</f>
        <v>1</v>
      </c>
      <c r="K24" s="20" t="n">
        <f aca="false">IF(B24="末尾",係数!$C$4*INDEX(シーン見積!$V$4:$V$25,MATCH(A24,シーン見積!$A$4:$A$25,0))*F24/60,係数!$C$5+係数!$C$4*INDEX(シーン見積!$V$4:$V$25,MATCH(A24,シーン見積!$A$4:$A$25,0))*(F24/60+係数!$C$6+INDEX(シーン見積!$Q$4:$Q$25,MATCH(A24,シーン見積!$A$4:$A$25,0))*係数!$C$7)*(1+G24*係数!$C$13)+係数!$C$8+H24*係数!$C$9)</f>
        <v>12.54</v>
      </c>
      <c r="L24" s="20" t="n">
        <f aca="false">IF(B24="末尾",係数!$D$4*INDEX(シーン見積!$V$4:$V$25,MATCH(A24,シーン見積!$A$4:$A$25,0))*F24/60,係数!$D$5+係数!$D$4*INDEX(シーン見積!$V$4:$V$25,MATCH(A24,シーン見積!$A$4:$A$25,0))*(F24/60+係数!$D$6+INDEX(シーン見積!$Q$4:$Q$25,MATCH(A24,シーン見積!$A$4:$A$25,0))*係数!$D$7)*(1+G24*係数!$D$13)+係数!$D$8+H24*係数!$D$9)</f>
        <v>18.4</v>
      </c>
      <c r="M24" s="12" t="s">
        <v>157</v>
      </c>
    </row>
    <row r="25" customFormat="false" ht="15" hidden="false" customHeight="false" outlineLevel="0" collapsed="false">
      <c r="A25" s="12" t="s">
        <v>103</v>
      </c>
      <c r="B25" s="12" t="s">
        <v>118</v>
      </c>
      <c r="C25" s="8" t="s">
        <v>158</v>
      </c>
      <c r="D25" s="19" t="s">
        <v>98</v>
      </c>
      <c r="E25" s="12" t="n">
        <f aca="false">MATCH(D25,{"必須","できれば","カット可"},0)</f>
        <v>3</v>
      </c>
      <c r="F25" s="9" t="n">
        <v>12</v>
      </c>
      <c r="G25" s="13" t="n">
        <v>0</v>
      </c>
      <c r="H25" s="13" t="n">
        <v>0</v>
      </c>
      <c r="I25" s="13" t="n">
        <v>0</v>
      </c>
      <c r="J25" s="12" t="n">
        <f aca="false">IF(E25&lt;=INDEX($B$5:$B$8,MATCH(A25,$A$5:$A$8,0)),1,0)</f>
        <v>0</v>
      </c>
      <c r="K25" s="20" t="n">
        <f aca="false">IF(B25="末尾",係数!$C$4*INDEX(シーン見積!$V$4:$V$25,MATCH(A25,シーン見積!$A$4:$A$25,0))*F25/60,係数!$C$5+係数!$C$4*INDEX(シーン見積!$V$4:$V$25,MATCH(A25,シーン見積!$A$4:$A$25,0))*(F25/60+係数!$C$6+INDEX(シーン見積!$Q$4:$Q$25,MATCH(A25,シーン見積!$A$4:$A$25,0))*係数!$C$7)*(1+G25*係数!$C$13)+係数!$C$8+H25*係数!$C$9)</f>
        <v>12</v>
      </c>
      <c r="L25" s="20" t="n">
        <f aca="false">IF(B25="末尾",係数!$D$4*INDEX(シーン見積!$V$4:$V$25,MATCH(A25,シーン見積!$A$4:$A$25,0))*F25/60,係数!$D$5+係数!$D$4*INDEX(シーン見積!$V$4:$V$25,MATCH(A25,シーン見積!$A$4:$A$25,0))*(F25/60+係数!$D$6+INDEX(シーン見積!$Q$4:$Q$25,MATCH(A25,シーン見積!$A$4:$A$25,0))*係数!$D$7)*(1+G25*係数!$D$13)+係数!$D$8+H25*係数!$D$9)</f>
        <v>17.35</v>
      </c>
      <c r="M25" s="12" t="s">
        <v>159</v>
      </c>
    </row>
    <row r="26" customFormat="false" ht="15" hidden="false" customHeight="false" outlineLevel="0" collapsed="false">
      <c r="A26" s="12" t="s">
        <v>103</v>
      </c>
      <c r="B26" s="12" t="s">
        <v>122</v>
      </c>
      <c r="C26" s="8" t="s">
        <v>160</v>
      </c>
      <c r="D26" s="19" t="s">
        <v>120</v>
      </c>
      <c r="E26" s="12" t="n">
        <f aca="false">MATCH(D26,{"必須","できれば","カット可"},0)</f>
        <v>1</v>
      </c>
      <c r="F26" s="9" t="n">
        <v>20</v>
      </c>
      <c r="G26" s="13" t="n">
        <v>1</v>
      </c>
      <c r="H26" s="13" t="n">
        <v>0</v>
      </c>
      <c r="I26" s="13" t="n">
        <v>0</v>
      </c>
      <c r="J26" s="12" t="n">
        <f aca="false">IF(E26&lt;=INDEX($B$5:$B$8,MATCH(A26,$A$5:$A$8,0)),1,0)</f>
        <v>1</v>
      </c>
      <c r="K26" s="20" t="n">
        <f aca="false">IF(B26="末尾",係数!$C$4*INDEX(シーン見積!$V$4:$V$25,MATCH(A26,シーン見積!$A$4:$A$25,0))*F26/60,係数!$C$5+係数!$C$4*INDEX(シーン見積!$V$4:$V$25,MATCH(A26,シーン見積!$A$4:$A$25,0))*(F26/60+係数!$C$6+INDEX(シーン見積!$Q$4:$Q$25,MATCH(A26,シーン見積!$A$4:$A$25,0))*係数!$C$7)*(1+G26*係数!$C$13)+係数!$C$8+H26*係数!$C$9)</f>
        <v>15.15</v>
      </c>
      <c r="L26" s="20" t="n">
        <f aca="false">IF(B26="末尾",係数!$D$4*INDEX(シーン見積!$V$4:$V$25,MATCH(A26,シーン見積!$A$4:$A$25,0))*F26/60,係数!$D$5+係数!$D$4*INDEX(シーン見積!$V$4:$V$25,MATCH(A26,シーン見積!$A$4:$A$25,0))*(F26/60+係数!$D$6+INDEX(シーン見積!$Q$4:$Q$25,MATCH(A26,シーン見積!$A$4:$A$25,0))*係数!$D$7)*(1+G26*係数!$D$13)+係数!$D$8+H26*係数!$D$9)</f>
        <v>22.075</v>
      </c>
      <c r="M26" s="8" t="s">
        <v>161</v>
      </c>
    </row>
    <row r="27" customFormat="false" ht="15" hidden="false" customHeight="false" outlineLevel="0" collapsed="false">
      <c r="A27" s="12" t="s">
        <v>103</v>
      </c>
      <c r="B27" s="12" t="s">
        <v>125</v>
      </c>
      <c r="C27" s="8" t="s">
        <v>162</v>
      </c>
      <c r="D27" s="19" t="s">
        <v>120</v>
      </c>
      <c r="E27" s="12" t="n">
        <f aca="false">MATCH(D27,{"必須","できれば","カット可"},0)</f>
        <v>1</v>
      </c>
      <c r="F27" s="9" t="n">
        <v>20</v>
      </c>
      <c r="G27" s="13" t="n">
        <v>1</v>
      </c>
      <c r="H27" s="13" t="n">
        <v>0</v>
      </c>
      <c r="I27" s="13" t="n">
        <v>0</v>
      </c>
      <c r="J27" s="12" t="n">
        <f aca="false">IF(E27&lt;=INDEX($B$5:$B$8,MATCH(A27,$A$5:$A$8,0)),1,0)</f>
        <v>1</v>
      </c>
      <c r="K27" s="20" t="n">
        <f aca="false">IF(B27="末尾",係数!$C$4*INDEX(シーン見積!$V$4:$V$25,MATCH(A27,シーン見積!$A$4:$A$25,0))*F27/60,係数!$C$5+係数!$C$4*INDEX(シーン見積!$V$4:$V$25,MATCH(A27,シーン見積!$A$4:$A$25,0))*(F27/60+係数!$C$6+INDEX(シーン見積!$Q$4:$Q$25,MATCH(A27,シーン見積!$A$4:$A$25,0))*係数!$C$7)*(1+G27*係数!$C$13)+係数!$C$8+H27*係数!$C$9)</f>
        <v>15.15</v>
      </c>
      <c r="L27" s="20" t="n">
        <f aca="false">IF(B27="末尾",係数!$D$4*INDEX(シーン見積!$V$4:$V$25,MATCH(A27,シーン見積!$A$4:$A$25,0))*F27/60,係数!$D$5+係数!$D$4*INDEX(シーン見積!$V$4:$V$25,MATCH(A27,シーン見積!$A$4:$A$25,0))*(F27/60+係数!$D$6+INDEX(シーン見積!$Q$4:$Q$25,MATCH(A27,シーン見積!$A$4:$A$25,0))*係数!$D$7)*(1+G27*係数!$D$13)+係数!$D$8+H27*係数!$D$9)</f>
        <v>22.075</v>
      </c>
      <c r="M27" s="8" t="s">
        <v>163</v>
      </c>
    </row>
    <row r="28" customFormat="false" ht="15" hidden="false" customHeight="false" outlineLevel="0" collapsed="false">
      <c r="A28" s="12" t="s">
        <v>103</v>
      </c>
      <c r="B28" s="12" t="s">
        <v>128</v>
      </c>
      <c r="C28" s="8" t="s">
        <v>164</v>
      </c>
      <c r="D28" s="19" t="s">
        <v>97</v>
      </c>
      <c r="E28" s="12" t="n">
        <f aca="false">MATCH(D28,{"必須","できれば","カット可"},0)</f>
        <v>2</v>
      </c>
      <c r="F28" s="9" t="n">
        <v>8</v>
      </c>
      <c r="G28" s="13" t="n">
        <v>0</v>
      </c>
      <c r="H28" s="13" t="n">
        <v>0</v>
      </c>
      <c r="I28" s="13" t="n">
        <v>1</v>
      </c>
      <c r="J28" s="12" t="n">
        <f aca="false">IF(E28&lt;=INDEX($B$5:$B$8,MATCH(A28,$A$5:$A$8,0)),1,0)</f>
        <v>1</v>
      </c>
      <c r="K28" s="20" t="n">
        <f aca="false">IF(B28="末尾",係数!$C$4*INDEX(シーン見積!$V$4:$V$25,MATCH(A28,シーン見積!$A$4:$A$25,0))*F28/60,係数!$C$5+係数!$C$4*INDEX(シーン見積!$V$4:$V$25,MATCH(A28,シーン見積!$A$4:$A$25,0))*(F28/60+係数!$C$6+INDEX(シーン見積!$Q$4:$Q$25,MATCH(A28,シーン見積!$A$4:$A$25,0))*係数!$C$7)*(1+G28*係数!$C$13)+係数!$C$8+H28*係数!$C$9)</f>
        <v>11.7</v>
      </c>
      <c r="L28" s="20" t="n">
        <f aca="false">IF(B28="末尾",係数!$D$4*INDEX(シーン見積!$V$4:$V$25,MATCH(A28,シーン見積!$A$4:$A$25,0))*F28/60,係数!$D$5+係数!$D$4*INDEX(シーン見積!$V$4:$V$25,MATCH(A28,シーン見積!$A$4:$A$25,0))*(F28/60+係数!$D$6+INDEX(シーン見積!$Q$4:$Q$25,MATCH(A28,シーン見積!$A$4:$A$25,0))*係数!$D$7)*(1+G28*係数!$D$13)+係数!$D$8+H28*係数!$D$9)</f>
        <v>17</v>
      </c>
      <c r="M28" s="8" t="s">
        <v>165</v>
      </c>
    </row>
    <row r="29" customFormat="false" ht="15" hidden="false" customHeight="false" outlineLevel="0" collapsed="false">
      <c r="A29" s="12" t="s">
        <v>103</v>
      </c>
      <c r="B29" s="12" t="s">
        <v>131</v>
      </c>
      <c r="C29" s="8" t="s">
        <v>166</v>
      </c>
      <c r="D29" s="19" t="s">
        <v>120</v>
      </c>
      <c r="E29" s="12" t="n">
        <f aca="false">MATCH(D29,{"必須","できれば","カット可"},0)</f>
        <v>1</v>
      </c>
      <c r="F29" s="9" t="n">
        <v>12</v>
      </c>
      <c r="G29" s="13" t="n">
        <v>0</v>
      </c>
      <c r="H29" s="13" t="n">
        <v>0</v>
      </c>
      <c r="I29" s="13" t="n">
        <v>0</v>
      </c>
      <c r="J29" s="12" t="n">
        <f aca="false">IF(E29&lt;=INDEX($B$5:$B$8,MATCH(A29,$A$5:$A$8,0)),1,0)</f>
        <v>1</v>
      </c>
      <c r="K29" s="20" t="n">
        <f aca="false">IF(B29="末尾",係数!$C$4*INDEX(シーン見積!$V$4:$V$25,MATCH(A29,シーン見積!$A$4:$A$25,0))*F29/60,係数!$C$5+係数!$C$4*INDEX(シーン見積!$V$4:$V$25,MATCH(A29,シーン見積!$A$4:$A$25,0))*(F29/60+係数!$C$6+INDEX(シーン見積!$Q$4:$Q$25,MATCH(A29,シーン見積!$A$4:$A$25,0))*係数!$C$7)*(1+G29*係数!$C$13)+係数!$C$8+H29*係数!$C$9)</f>
        <v>12</v>
      </c>
      <c r="L29" s="20" t="n">
        <f aca="false">IF(B29="末尾",係数!$D$4*INDEX(シーン見積!$V$4:$V$25,MATCH(A29,シーン見積!$A$4:$A$25,0))*F29/60,係数!$D$5+係数!$D$4*INDEX(シーン見積!$V$4:$V$25,MATCH(A29,シーン見積!$A$4:$A$25,0))*(F29/60+係数!$D$6+INDEX(シーン見積!$Q$4:$Q$25,MATCH(A29,シーン見積!$A$4:$A$25,0))*係数!$D$7)*(1+G29*係数!$D$13)+係数!$D$8+H29*係数!$D$9)</f>
        <v>17.35</v>
      </c>
      <c r="M29" s="8" t="s">
        <v>167</v>
      </c>
    </row>
    <row r="30" customFormat="false" ht="15" hidden="false" customHeight="false" outlineLevel="0" collapsed="false">
      <c r="A30" s="12" t="s">
        <v>103</v>
      </c>
      <c r="B30" s="12" t="s">
        <v>134</v>
      </c>
      <c r="C30" s="8" t="s">
        <v>168</v>
      </c>
      <c r="D30" s="19" t="s">
        <v>120</v>
      </c>
      <c r="E30" s="12" t="n">
        <f aca="false">MATCH(D30,{"必須","できれば","カット可"},0)</f>
        <v>1</v>
      </c>
      <c r="F30" s="9" t="n">
        <v>15</v>
      </c>
      <c r="G30" s="13" t="n">
        <v>0</v>
      </c>
      <c r="H30" s="13" t="n">
        <v>0</v>
      </c>
      <c r="I30" s="13" t="n">
        <v>0</v>
      </c>
      <c r="J30" s="12" t="n">
        <f aca="false">IF(E30&lt;=INDEX($B$5:$B$8,MATCH(A30,$A$5:$A$8,0)),1,0)</f>
        <v>1</v>
      </c>
      <c r="K30" s="20" t="n">
        <f aca="false">IF(B30="末尾",係数!$C$4*INDEX(シーン見積!$V$4:$V$25,MATCH(A30,シーン見積!$A$4:$A$25,0))*F30/60,係数!$C$5+係数!$C$4*INDEX(シーン見積!$V$4:$V$25,MATCH(A30,シーン見積!$A$4:$A$25,0))*(F30/60+係数!$C$6+INDEX(シーン見積!$Q$4:$Q$25,MATCH(A30,シーン見積!$A$4:$A$25,0))*係数!$C$7)*(1+G30*係数!$C$13)+係数!$C$8+H30*係数!$C$9)</f>
        <v>12.225</v>
      </c>
      <c r="L30" s="20" t="n">
        <f aca="false">IF(B30="末尾",係数!$D$4*INDEX(シーン見積!$V$4:$V$25,MATCH(A30,シーン見積!$A$4:$A$25,0))*F30/60,係数!$D$5+係数!$D$4*INDEX(シーン見積!$V$4:$V$25,MATCH(A30,シーン見積!$A$4:$A$25,0))*(F30/60+係数!$D$6+INDEX(シーン見積!$Q$4:$Q$25,MATCH(A30,シーン見積!$A$4:$A$25,0))*係数!$D$7)*(1+G30*係数!$D$13)+係数!$D$8+H30*係数!$D$9)</f>
        <v>17.6125</v>
      </c>
      <c r="M30" s="8" t="s">
        <v>169</v>
      </c>
    </row>
    <row r="31" customFormat="false" ht="15" hidden="false" customHeight="false" outlineLevel="0" collapsed="false">
      <c r="A31" s="12" t="s">
        <v>103</v>
      </c>
      <c r="B31" s="12" t="s">
        <v>137</v>
      </c>
      <c r="C31" s="8" t="s">
        <v>170</v>
      </c>
      <c r="D31" s="19" t="s">
        <v>120</v>
      </c>
      <c r="E31" s="12" t="n">
        <f aca="false">MATCH(D31,{"必須","できれば","カット可"},0)</f>
        <v>1</v>
      </c>
      <c r="F31" s="9" t="n">
        <v>30</v>
      </c>
      <c r="G31" s="13" t="n">
        <v>1</v>
      </c>
      <c r="H31" s="13" t="n">
        <v>0</v>
      </c>
      <c r="I31" s="13" t="n">
        <v>0</v>
      </c>
      <c r="J31" s="12" t="n">
        <f aca="false">IF(E31&lt;=INDEX($B$5:$B$8,MATCH(A31,$A$5:$A$8,0)),1,0)</f>
        <v>1</v>
      </c>
      <c r="K31" s="20" t="n">
        <f aca="false">IF(B31="末尾",係数!$C$4*INDEX(シーン見積!$V$4:$V$25,MATCH(A31,シーン見積!$A$4:$A$25,0))*F31/60,係数!$C$5+係数!$C$4*INDEX(シーン見積!$V$4:$V$25,MATCH(A31,シーン見積!$A$4:$A$25,0))*(F31/60+係数!$C$6+INDEX(シーン見積!$Q$4:$Q$25,MATCH(A31,シーン見積!$A$4:$A$25,0))*係数!$C$7)*(1+G31*係数!$C$13)+係数!$C$8+H31*係数!$C$9)</f>
        <v>16.275</v>
      </c>
      <c r="L31" s="20" t="n">
        <f aca="false">IF(B31="末尾",係数!$D$4*INDEX(シーン見積!$V$4:$V$25,MATCH(A31,シーン見積!$A$4:$A$25,0))*F31/60,係数!$D$5+係数!$D$4*INDEX(シーン見積!$V$4:$V$25,MATCH(A31,シーン見積!$A$4:$A$25,0))*(F31/60+係数!$D$6+INDEX(シーン見積!$Q$4:$Q$25,MATCH(A31,シーン見積!$A$4:$A$25,0))*係数!$D$7)*(1+G31*係数!$D$13)+係数!$D$8+H31*係数!$D$9)</f>
        <v>23.3875</v>
      </c>
      <c r="M31" s="8" t="s">
        <v>171</v>
      </c>
    </row>
    <row r="32" customFormat="false" ht="15" hidden="false" customHeight="false" outlineLevel="0" collapsed="false">
      <c r="A32" s="12" t="s">
        <v>103</v>
      </c>
      <c r="B32" s="12" t="s">
        <v>140</v>
      </c>
      <c r="C32" s="8" t="s">
        <v>172</v>
      </c>
      <c r="D32" s="19" t="s">
        <v>120</v>
      </c>
      <c r="E32" s="12" t="n">
        <f aca="false">MATCH(D32,{"必須","できれば","カット可"},0)</f>
        <v>1</v>
      </c>
      <c r="F32" s="9" t="n">
        <v>8</v>
      </c>
      <c r="G32" s="13" t="n">
        <v>0</v>
      </c>
      <c r="H32" s="13" t="n">
        <v>0</v>
      </c>
      <c r="I32" s="13" t="n">
        <v>1</v>
      </c>
      <c r="J32" s="12" t="n">
        <f aca="false">IF(E32&lt;=INDEX($B$5:$B$8,MATCH(A32,$A$5:$A$8,0)),1,0)</f>
        <v>1</v>
      </c>
      <c r="K32" s="20" t="n">
        <f aca="false">IF(B32="末尾",係数!$C$4*INDEX(シーン見積!$V$4:$V$25,MATCH(A32,シーン見積!$A$4:$A$25,0))*F32/60,係数!$C$5+係数!$C$4*INDEX(シーン見積!$V$4:$V$25,MATCH(A32,シーン見積!$A$4:$A$25,0))*(F32/60+係数!$C$6+INDEX(シーン見積!$Q$4:$Q$25,MATCH(A32,シーン見積!$A$4:$A$25,0))*係数!$C$7)*(1+G32*係数!$C$13)+係数!$C$8+H32*係数!$C$9)</f>
        <v>11.7</v>
      </c>
      <c r="L32" s="20" t="n">
        <f aca="false">IF(B32="末尾",係数!$D$4*INDEX(シーン見積!$V$4:$V$25,MATCH(A32,シーン見積!$A$4:$A$25,0))*F32/60,係数!$D$5+係数!$D$4*INDEX(シーン見積!$V$4:$V$25,MATCH(A32,シーン見積!$A$4:$A$25,0))*(F32/60+係数!$D$6+INDEX(シーン見積!$Q$4:$Q$25,MATCH(A32,シーン見積!$A$4:$A$25,0))*係数!$D$7)*(1+G32*係数!$D$13)+係数!$D$8+H32*係数!$D$9)</f>
        <v>17</v>
      </c>
      <c r="M32" s="8" t="s">
        <v>173</v>
      </c>
    </row>
    <row r="33" customFormat="false" ht="15" hidden="false" customHeight="false" outlineLevel="0" collapsed="false">
      <c r="A33" s="12" t="s">
        <v>103</v>
      </c>
      <c r="B33" s="12" t="s">
        <v>143</v>
      </c>
      <c r="C33" s="8" t="s">
        <v>174</v>
      </c>
      <c r="D33" s="19" t="s">
        <v>97</v>
      </c>
      <c r="E33" s="12" t="n">
        <f aca="false">MATCH(D33,{"必須","できれば","カット可"},0)</f>
        <v>2</v>
      </c>
      <c r="F33" s="9" t="n">
        <v>8</v>
      </c>
      <c r="G33" s="13" t="n">
        <v>0</v>
      </c>
      <c r="H33" s="13" t="n">
        <v>0</v>
      </c>
      <c r="I33" s="13" t="n">
        <v>0</v>
      </c>
      <c r="J33" s="12" t="n">
        <f aca="false">IF(E33&lt;=INDEX($B$5:$B$8,MATCH(A33,$A$5:$A$8,0)),1,0)</f>
        <v>1</v>
      </c>
      <c r="K33" s="20" t="n">
        <f aca="false">IF(B33="末尾",係数!$C$4*INDEX(シーン見積!$V$4:$V$25,MATCH(A33,シーン見積!$A$4:$A$25,0))*F33/60,係数!$C$5+係数!$C$4*INDEX(シーン見積!$V$4:$V$25,MATCH(A33,シーン見積!$A$4:$A$25,0))*(F33/60+係数!$C$6+INDEX(シーン見積!$Q$4:$Q$25,MATCH(A33,シーン見積!$A$4:$A$25,0))*係数!$C$7)*(1+G33*係数!$C$13)+係数!$C$8+H33*係数!$C$9)</f>
        <v>11.7</v>
      </c>
      <c r="L33" s="20" t="n">
        <f aca="false">IF(B33="末尾",係数!$D$4*INDEX(シーン見積!$V$4:$V$25,MATCH(A33,シーン見積!$A$4:$A$25,0))*F33/60,係数!$D$5+係数!$D$4*INDEX(シーン見積!$V$4:$V$25,MATCH(A33,シーン見積!$A$4:$A$25,0))*(F33/60+係数!$D$6+INDEX(シーン見積!$Q$4:$Q$25,MATCH(A33,シーン見積!$A$4:$A$25,0))*係数!$D$7)*(1+G33*係数!$D$13)+係数!$D$8+H33*係数!$D$9)</f>
        <v>17</v>
      </c>
      <c r="M33" s="12" t="s">
        <v>175</v>
      </c>
    </row>
    <row r="34" customFormat="false" ht="15" hidden="false" customHeight="false" outlineLevel="0" collapsed="false">
      <c r="A34" s="12" t="s">
        <v>103</v>
      </c>
      <c r="B34" s="12" t="s">
        <v>146</v>
      </c>
      <c r="C34" s="8" t="s">
        <v>176</v>
      </c>
      <c r="D34" s="19" t="s">
        <v>120</v>
      </c>
      <c r="E34" s="12" t="n">
        <f aca="false">MATCH(D34,{"必須","できれば","カット可"},0)</f>
        <v>1</v>
      </c>
      <c r="F34" s="9" t="n">
        <v>15</v>
      </c>
      <c r="G34" s="13" t="n">
        <v>1</v>
      </c>
      <c r="H34" s="13" t="n">
        <v>0</v>
      </c>
      <c r="I34" s="13" t="n">
        <v>0</v>
      </c>
      <c r="J34" s="12" t="n">
        <f aca="false">IF(E34&lt;=INDEX($B$5:$B$8,MATCH(A34,$A$5:$A$8,0)),1,0)</f>
        <v>1</v>
      </c>
      <c r="K34" s="20" t="n">
        <f aca="false">IF(B34="末尾",係数!$C$4*INDEX(シーン見積!$V$4:$V$25,MATCH(A34,シーン見積!$A$4:$A$25,0))*F34/60,係数!$C$5+係数!$C$4*INDEX(シーン見積!$V$4:$V$25,MATCH(A34,シーン見積!$A$4:$A$25,0))*(F34/60+係数!$C$6+INDEX(シーン見積!$Q$4:$Q$25,MATCH(A34,シーン見積!$A$4:$A$25,0))*係数!$C$7)*(1+G34*係数!$C$13)+係数!$C$8+H34*係数!$C$9)</f>
        <v>14.5875</v>
      </c>
      <c r="L34" s="20" t="n">
        <f aca="false">IF(B34="末尾",係数!$D$4*INDEX(シーン見積!$V$4:$V$25,MATCH(A34,シーン見積!$A$4:$A$25,0))*F34/60,係数!$D$5+係数!$D$4*INDEX(シーン見積!$V$4:$V$25,MATCH(A34,シーン見積!$A$4:$A$25,0))*(F34/60+係数!$D$6+INDEX(シーン見積!$Q$4:$Q$25,MATCH(A34,シーン見積!$A$4:$A$25,0))*係数!$D$7)*(1+G34*係数!$D$13)+係数!$D$8+H34*係数!$D$9)</f>
        <v>21.41875</v>
      </c>
      <c r="M34" s="8" t="s">
        <v>177</v>
      </c>
    </row>
    <row r="35" customFormat="false" ht="15" hidden="false" customHeight="false" outlineLevel="0" collapsed="false">
      <c r="A35" s="12" t="s">
        <v>104</v>
      </c>
      <c r="B35" s="12" t="s">
        <v>118</v>
      </c>
      <c r="C35" s="8" t="s">
        <v>178</v>
      </c>
      <c r="D35" s="19" t="s">
        <v>120</v>
      </c>
      <c r="E35" s="12" t="n">
        <f aca="false">MATCH(D35,{"必須","できれば","カット可"},0)</f>
        <v>1</v>
      </c>
      <c r="F35" s="9" t="n">
        <v>20</v>
      </c>
      <c r="G35" s="13" t="n">
        <v>0</v>
      </c>
      <c r="H35" s="13" t="n">
        <v>1</v>
      </c>
      <c r="I35" s="13" t="n">
        <v>0</v>
      </c>
      <c r="J35" s="12" t="n">
        <f aca="false">IF(E35&lt;=INDEX($B$5:$B$8,MATCH(A35,$A$5:$A$8,0)),1,0)</f>
        <v>1</v>
      </c>
      <c r="K35" s="20" t="n">
        <f aca="false">IF(B35="末尾",係数!$C$4*INDEX(シーン見積!$V$4:$V$25,MATCH(A35,シーン見積!$A$4:$A$25,0))*F35/60,係数!$C$5+係数!$C$4*INDEX(シーン見積!$V$4:$V$25,MATCH(A35,シーン見積!$A$4:$A$25,0))*(F35/60+係数!$C$6+INDEX(シーン見積!$Q$4:$Q$25,MATCH(A35,シーン見積!$A$4:$A$25,0))*係数!$C$7)*(1+G35*係数!$C$13)+係数!$C$8+H35*係数!$C$9)</f>
        <v>17.246</v>
      </c>
      <c r="L35" s="20" t="n">
        <f aca="false">IF(B35="末尾",係数!$D$4*INDEX(シーン見積!$V$4:$V$25,MATCH(A35,シーン見積!$A$4:$A$25,0))*F35/60,係数!$D$5+係数!$D$4*INDEX(シーン見積!$V$4:$V$25,MATCH(A35,シーン見積!$A$4:$A$25,0))*(F35/60+係数!$D$6+INDEX(シーン見積!$Q$4:$Q$25,MATCH(A35,シーン見積!$A$4:$A$25,0))*係数!$D$7)*(1+G35*係数!$D$13)+係数!$D$8+H35*係数!$D$9)</f>
        <v>25.0696666666667</v>
      </c>
      <c r="M35" s="8" t="s">
        <v>179</v>
      </c>
    </row>
    <row r="36" customFormat="false" ht="15" hidden="false" customHeight="false" outlineLevel="0" collapsed="false">
      <c r="A36" s="12" t="s">
        <v>104</v>
      </c>
      <c r="B36" s="12" t="s">
        <v>122</v>
      </c>
      <c r="C36" s="8" t="s">
        <v>180</v>
      </c>
      <c r="D36" s="19" t="s">
        <v>97</v>
      </c>
      <c r="E36" s="12" t="n">
        <f aca="false">MATCH(D36,{"必須","できれば","カット可"},0)</f>
        <v>2</v>
      </c>
      <c r="F36" s="9" t="n">
        <v>15</v>
      </c>
      <c r="G36" s="13" t="n">
        <v>0</v>
      </c>
      <c r="H36" s="13" t="n">
        <v>1</v>
      </c>
      <c r="I36" s="13" t="n">
        <v>0</v>
      </c>
      <c r="J36" s="12" t="n">
        <f aca="false">IF(E36&lt;=INDEX($B$5:$B$8,MATCH(A36,$A$5:$A$8,0)),1,0)</f>
        <v>0</v>
      </c>
      <c r="K36" s="20" t="n">
        <f aca="false">IF(B36="末尾",係数!$C$4*INDEX(シーン見積!$V$4:$V$25,MATCH(A36,シーン見積!$A$4:$A$25,0))*F36/60,係数!$C$5+係数!$C$4*INDEX(シーン見積!$V$4:$V$25,MATCH(A36,シーン見積!$A$4:$A$25,0))*(F36/60+係数!$C$6+INDEX(シーン見積!$Q$4:$Q$25,MATCH(A36,シーン見積!$A$4:$A$25,0))*係数!$C$7)*(1+G36*係数!$C$13)+係数!$C$8+H36*係数!$C$9)</f>
        <v>16.8235</v>
      </c>
      <c r="L36" s="20" t="n">
        <f aca="false">IF(B36="末尾",係数!$D$4*INDEX(シーン見積!$V$4:$V$25,MATCH(A36,シーン見積!$A$4:$A$25,0))*F36/60,係数!$D$5+係数!$D$4*INDEX(シーン見積!$V$4:$V$25,MATCH(A36,シーン見積!$A$4:$A$25,0))*(F36/60+係数!$D$6+INDEX(シーン見積!$Q$4:$Q$25,MATCH(A36,シーン見積!$A$4:$A$25,0))*係数!$D$7)*(1+G36*係数!$D$13)+係数!$D$8+H36*係数!$D$9)</f>
        <v>24.57675</v>
      </c>
      <c r="M36" s="12" t="s">
        <v>181</v>
      </c>
    </row>
    <row r="37" customFormat="false" ht="15" hidden="false" customHeight="false" outlineLevel="0" collapsed="false">
      <c r="A37" s="12" t="s">
        <v>104</v>
      </c>
      <c r="B37" s="12" t="s">
        <v>125</v>
      </c>
      <c r="C37" s="8" t="s">
        <v>182</v>
      </c>
      <c r="D37" s="19" t="s">
        <v>120</v>
      </c>
      <c r="E37" s="12" t="n">
        <f aca="false">MATCH(D37,{"必須","できれば","カット可"},0)</f>
        <v>1</v>
      </c>
      <c r="F37" s="9" t="n">
        <v>30</v>
      </c>
      <c r="G37" s="13" t="n">
        <v>1</v>
      </c>
      <c r="H37" s="13" t="n">
        <v>1</v>
      </c>
      <c r="I37" s="13" t="n">
        <v>0</v>
      </c>
      <c r="J37" s="12" t="n">
        <f aca="false">IF(E37&lt;=INDEX($B$5:$B$8,MATCH(A37,$A$5:$A$8,0)),1,0)</f>
        <v>1</v>
      </c>
      <c r="K37" s="20" t="n">
        <f aca="false">IF(B37="末尾",係数!$C$4*INDEX(シーン見積!$V$4:$V$25,MATCH(A37,シーン見積!$A$4:$A$25,0))*F37/60,係数!$C$5+係数!$C$4*INDEX(シーン見積!$V$4:$V$25,MATCH(A37,シーン見積!$A$4:$A$25,0))*(F37/60+係数!$C$6+INDEX(シーン見積!$Q$4:$Q$25,MATCH(A37,シーン見積!$A$4:$A$25,0))*係数!$C$7)*(1+G37*係数!$C$13)+係数!$C$8+H37*係数!$C$9)</f>
        <v>21.3865</v>
      </c>
      <c r="L37" s="20" t="n">
        <f aca="false">IF(B37="末尾",係数!$D$4*INDEX(シーン見積!$V$4:$V$25,MATCH(A37,シーン見積!$A$4:$A$25,0))*F37/60,係数!$D$5+係数!$D$4*INDEX(シーン見積!$V$4:$V$25,MATCH(A37,シーン見積!$A$4:$A$25,0))*(F37/60+係数!$D$6+INDEX(シーン見積!$Q$4:$Q$25,MATCH(A37,シーン見積!$A$4:$A$25,0))*係数!$D$7)*(1+G37*係数!$D$13)+係数!$D$8+H37*係数!$D$9)</f>
        <v>31.08325</v>
      </c>
      <c r="M37" s="8" t="s">
        <v>183</v>
      </c>
    </row>
    <row r="38" customFormat="false" ht="15" hidden="false" customHeight="false" outlineLevel="0" collapsed="false">
      <c r="A38" s="12" t="s">
        <v>104</v>
      </c>
      <c r="B38" s="12" t="s">
        <v>128</v>
      </c>
      <c r="C38" s="8" t="s">
        <v>184</v>
      </c>
      <c r="D38" s="19" t="s">
        <v>120</v>
      </c>
      <c r="E38" s="12" t="n">
        <f aca="false">MATCH(D38,{"必須","できれば","カット可"},0)</f>
        <v>1</v>
      </c>
      <c r="F38" s="9" t="n">
        <v>10</v>
      </c>
      <c r="G38" s="13" t="n">
        <v>0</v>
      </c>
      <c r="H38" s="13" t="n">
        <v>1</v>
      </c>
      <c r="I38" s="13" t="n">
        <v>0</v>
      </c>
      <c r="J38" s="12" t="n">
        <f aca="false">IF(E38&lt;=INDEX($B$5:$B$8,MATCH(A38,$A$5:$A$8,0)),1,0)</f>
        <v>1</v>
      </c>
      <c r="K38" s="20" t="n">
        <f aca="false">IF(B38="末尾",係数!$C$4*INDEX(シーン見積!$V$4:$V$25,MATCH(A38,シーン見積!$A$4:$A$25,0))*F38/60,係数!$C$5+係数!$C$4*INDEX(シーン見積!$V$4:$V$25,MATCH(A38,シーン見積!$A$4:$A$25,0))*(F38/60+係数!$C$6+INDEX(シーン見積!$Q$4:$Q$25,MATCH(A38,シーン見積!$A$4:$A$25,0))*係数!$C$7)*(1+G38*係数!$C$13)+係数!$C$8+H38*係数!$C$9)</f>
        <v>16.401</v>
      </c>
      <c r="L38" s="20" t="n">
        <f aca="false">IF(B38="末尾",係数!$D$4*INDEX(シーン見積!$V$4:$V$25,MATCH(A38,シーン見積!$A$4:$A$25,0))*F38/60,係数!$D$5+係数!$D$4*INDEX(シーン見積!$V$4:$V$25,MATCH(A38,シーン見積!$A$4:$A$25,0))*(F38/60+係数!$D$6+INDEX(シーン見積!$Q$4:$Q$25,MATCH(A38,シーン見積!$A$4:$A$25,0))*係数!$D$7)*(1+G38*係数!$D$13)+係数!$D$8+H38*係数!$D$9)</f>
        <v>24.0838333333333</v>
      </c>
      <c r="M38" s="8" t="s">
        <v>185</v>
      </c>
    </row>
    <row r="39" customFormat="false" ht="15" hidden="false" customHeight="false" outlineLevel="0" collapsed="false">
      <c r="A39" s="12" t="s">
        <v>104</v>
      </c>
      <c r="B39" s="12" t="s">
        <v>131</v>
      </c>
      <c r="C39" s="8" t="s">
        <v>186</v>
      </c>
      <c r="D39" s="19" t="s">
        <v>97</v>
      </c>
      <c r="E39" s="12" t="n">
        <f aca="false">MATCH(D39,{"必須","できれば","カット可"},0)</f>
        <v>2</v>
      </c>
      <c r="F39" s="9" t="n">
        <v>10</v>
      </c>
      <c r="G39" s="13" t="n">
        <v>0</v>
      </c>
      <c r="H39" s="13" t="n">
        <v>1</v>
      </c>
      <c r="I39" s="13" t="n">
        <v>0</v>
      </c>
      <c r="J39" s="12" t="n">
        <f aca="false">IF(E39&lt;=INDEX($B$5:$B$8,MATCH(A39,$A$5:$A$8,0)),1,0)</f>
        <v>0</v>
      </c>
      <c r="K39" s="20" t="n">
        <f aca="false">IF(B39="末尾",係数!$C$4*INDEX(シーン見積!$V$4:$V$25,MATCH(A39,シーン見積!$A$4:$A$25,0))*F39/60,係数!$C$5+係数!$C$4*INDEX(シーン見積!$V$4:$V$25,MATCH(A39,シーン見積!$A$4:$A$25,0))*(F39/60+係数!$C$6+INDEX(シーン見積!$Q$4:$Q$25,MATCH(A39,シーン見積!$A$4:$A$25,0))*係数!$C$7)*(1+G39*係数!$C$13)+係数!$C$8+H39*係数!$C$9)</f>
        <v>16.401</v>
      </c>
      <c r="L39" s="20" t="n">
        <f aca="false">IF(B39="末尾",係数!$D$4*INDEX(シーン見積!$V$4:$V$25,MATCH(A39,シーン見積!$A$4:$A$25,0))*F39/60,係数!$D$5+係数!$D$4*INDEX(シーン見積!$V$4:$V$25,MATCH(A39,シーン見積!$A$4:$A$25,0))*(F39/60+係数!$D$6+INDEX(シーン見積!$Q$4:$Q$25,MATCH(A39,シーン見積!$A$4:$A$25,0))*係数!$D$7)*(1+G39*係数!$D$13)+係数!$D$8+H39*係数!$D$9)</f>
        <v>24.0838333333333</v>
      </c>
      <c r="M39" s="12" t="s">
        <v>187</v>
      </c>
    </row>
    <row r="40" customFormat="false" ht="15" hidden="false" customHeight="false" outlineLevel="0" collapsed="false">
      <c r="A40" s="12" t="s">
        <v>104</v>
      </c>
      <c r="B40" s="12" t="s">
        <v>134</v>
      </c>
      <c r="C40" s="8" t="s">
        <v>188</v>
      </c>
      <c r="D40" s="19" t="s">
        <v>97</v>
      </c>
      <c r="E40" s="12" t="n">
        <f aca="false">MATCH(D40,{"必須","できれば","カット可"},0)</f>
        <v>2</v>
      </c>
      <c r="F40" s="9" t="n">
        <v>10</v>
      </c>
      <c r="G40" s="13" t="n">
        <v>0</v>
      </c>
      <c r="H40" s="13" t="n">
        <v>1</v>
      </c>
      <c r="I40" s="13" t="n">
        <v>0</v>
      </c>
      <c r="J40" s="12" t="n">
        <f aca="false">IF(E40&lt;=INDEX($B$5:$B$8,MATCH(A40,$A$5:$A$8,0)),1,0)</f>
        <v>0</v>
      </c>
      <c r="K40" s="20" t="n">
        <f aca="false">IF(B40="末尾",係数!$C$4*INDEX(シーン見積!$V$4:$V$25,MATCH(A40,シーン見積!$A$4:$A$25,0))*F40/60,係数!$C$5+係数!$C$4*INDEX(シーン見積!$V$4:$V$25,MATCH(A40,シーン見積!$A$4:$A$25,0))*(F40/60+係数!$C$6+INDEX(シーン見積!$Q$4:$Q$25,MATCH(A40,シーン見積!$A$4:$A$25,0))*係数!$C$7)*(1+G40*係数!$C$13)+係数!$C$8+H40*係数!$C$9)</f>
        <v>16.401</v>
      </c>
      <c r="L40" s="20" t="n">
        <f aca="false">IF(B40="末尾",係数!$D$4*INDEX(シーン見積!$V$4:$V$25,MATCH(A40,シーン見積!$A$4:$A$25,0))*F40/60,係数!$D$5+係数!$D$4*INDEX(シーン見積!$V$4:$V$25,MATCH(A40,シーン見積!$A$4:$A$25,0))*(F40/60+係数!$D$6+INDEX(シーン見積!$Q$4:$Q$25,MATCH(A40,シーン見積!$A$4:$A$25,0))*係数!$D$7)*(1+G40*係数!$D$13)+係数!$D$8+H40*係数!$D$9)</f>
        <v>24.0838333333333</v>
      </c>
      <c r="M40" s="8" t="s">
        <v>189</v>
      </c>
    </row>
    <row r="41" customFormat="false" ht="15" hidden="false" customHeight="false" outlineLevel="0" collapsed="false">
      <c r="A41" s="12" t="s">
        <v>104</v>
      </c>
      <c r="B41" s="12" t="s">
        <v>137</v>
      </c>
      <c r="C41" s="8" t="s">
        <v>190</v>
      </c>
      <c r="D41" s="19" t="s">
        <v>120</v>
      </c>
      <c r="E41" s="12" t="n">
        <f aca="false">MATCH(D41,{"必須","できれば","カット可"},0)</f>
        <v>1</v>
      </c>
      <c r="F41" s="9" t="n">
        <v>20</v>
      </c>
      <c r="G41" s="13" t="n">
        <v>0</v>
      </c>
      <c r="H41" s="13" t="n">
        <v>1</v>
      </c>
      <c r="I41" s="13" t="n">
        <v>0</v>
      </c>
      <c r="J41" s="12" t="n">
        <f aca="false">IF(E41&lt;=INDEX($B$5:$B$8,MATCH(A41,$A$5:$A$8,0)),1,0)</f>
        <v>1</v>
      </c>
      <c r="K41" s="20" t="n">
        <f aca="false">IF(B41="末尾",係数!$C$4*INDEX(シーン見積!$V$4:$V$25,MATCH(A41,シーン見積!$A$4:$A$25,0))*F41/60,係数!$C$5+係数!$C$4*INDEX(シーン見積!$V$4:$V$25,MATCH(A41,シーン見積!$A$4:$A$25,0))*(F41/60+係数!$C$6+INDEX(シーン見積!$Q$4:$Q$25,MATCH(A41,シーン見積!$A$4:$A$25,0))*係数!$C$7)*(1+G41*係数!$C$13)+係数!$C$8+H41*係数!$C$9)</f>
        <v>17.246</v>
      </c>
      <c r="L41" s="20" t="n">
        <f aca="false">IF(B41="末尾",係数!$D$4*INDEX(シーン見積!$V$4:$V$25,MATCH(A41,シーン見積!$A$4:$A$25,0))*F41/60,係数!$D$5+係数!$D$4*INDEX(シーン見積!$V$4:$V$25,MATCH(A41,シーン見積!$A$4:$A$25,0))*(F41/60+係数!$D$6+INDEX(シーン見積!$Q$4:$Q$25,MATCH(A41,シーン見積!$A$4:$A$25,0))*係数!$D$7)*(1+G41*係数!$D$13)+係数!$D$8+H41*係数!$D$9)</f>
        <v>25.0696666666667</v>
      </c>
      <c r="M41" s="8" t="s">
        <v>191</v>
      </c>
    </row>
    <row r="42" customFormat="false" ht="15" hidden="false" customHeight="false" outlineLevel="0" collapsed="false">
      <c r="A42" s="12" t="s">
        <v>104</v>
      </c>
      <c r="B42" s="12" t="s">
        <v>140</v>
      </c>
      <c r="C42" s="8" t="s">
        <v>192</v>
      </c>
      <c r="D42" s="19" t="s">
        <v>120</v>
      </c>
      <c r="E42" s="12" t="n">
        <f aca="false">MATCH(D42,{"必須","できれば","カット可"},0)</f>
        <v>1</v>
      </c>
      <c r="F42" s="9" t="n">
        <v>15</v>
      </c>
      <c r="G42" s="13" t="n">
        <v>0</v>
      </c>
      <c r="H42" s="13" t="n">
        <v>1</v>
      </c>
      <c r="I42" s="13" t="n">
        <v>0</v>
      </c>
      <c r="J42" s="12" t="n">
        <f aca="false">IF(E42&lt;=INDEX($B$5:$B$8,MATCH(A42,$A$5:$A$8,0)),1,0)</f>
        <v>1</v>
      </c>
      <c r="K42" s="20" t="n">
        <f aca="false">IF(B42="末尾",係数!$C$4*INDEX(シーン見積!$V$4:$V$25,MATCH(A42,シーン見積!$A$4:$A$25,0))*F42/60,係数!$C$5+係数!$C$4*INDEX(シーン見積!$V$4:$V$25,MATCH(A42,シーン見積!$A$4:$A$25,0))*(F42/60+係数!$C$6+INDEX(シーン見積!$Q$4:$Q$25,MATCH(A42,シーン見積!$A$4:$A$25,0))*係数!$C$7)*(1+G42*係数!$C$13)+係数!$C$8+H42*係数!$C$9)</f>
        <v>16.8235</v>
      </c>
      <c r="L42" s="20" t="n">
        <f aca="false">IF(B42="末尾",係数!$D$4*INDEX(シーン見積!$V$4:$V$25,MATCH(A42,シーン見積!$A$4:$A$25,0))*F42/60,係数!$D$5+係数!$D$4*INDEX(シーン見積!$V$4:$V$25,MATCH(A42,シーン見積!$A$4:$A$25,0))*(F42/60+係数!$D$6+INDEX(シーン見積!$Q$4:$Q$25,MATCH(A42,シーン見積!$A$4:$A$25,0))*係数!$D$7)*(1+G42*係数!$D$13)+係数!$D$8+H42*係数!$D$9)</f>
        <v>24.57675</v>
      </c>
      <c r="M42" s="8" t="s">
        <v>193</v>
      </c>
    </row>
    <row r="43" customFormat="false" ht="15" hidden="false" customHeight="false" outlineLevel="0" collapsed="false">
      <c r="A43" s="12" t="s">
        <v>104</v>
      </c>
      <c r="B43" s="12" t="s">
        <v>143</v>
      </c>
      <c r="C43" s="8" t="s">
        <v>194</v>
      </c>
      <c r="D43" s="19" t="s">
        <v>120</v>
      </c>
      <c r="E43" s="12" t="n">
        <f aca="false">MATCH(D43,{"必須","できれば","カット可"},0)</f>
        <v>1</v>
      </c>
      <c r="F43" s="9" t="n">
        <v>15</v>
      </c>
      <c r="G43" s="13" t="n">
        <v>0</v>
      </c>
      <c r="H43" s="13" t="n">
        <v>1</v>
      </c>
      <c r="I43" s="13" t="n">
        <v>0</v>
      </c>
      <c r="J43" s="12" t="n">
        <f aca="false">IF(E43&lt;=INDEX($B$5:$B$8,MATCH(A43,$A$5:$A$8,0)),1,0)</f>
        <v>1</v>
      </c>
      <c r="K43" s="20" t="n">
        <f aca="false">IF(B43="末尾",係数!$C$4*INDEX(シーン見積!$V$4:$V$25,MATCH(A43,シーン見積!$A$4:$A$25,0))*F43/60,係数!$C$5+係数!$C$4*INDEX(シーン見積!$V$4:$V$25,MATCH(A43,シーン見積!$A$4:$A$25,0))*(F43/60+係数!$C$6+INDEX(シーン見積!$Q$4:$Q$25,MATCH(A43,シーン見積!$A$4:$A$25,0))*係数!$C$7)*(1+G43*係数!$C$13)+係数!$C$8+H43*係数!$C$9)</f>
        <v>16.8235</v>
      </c>
      <c r="L43" s="20" t="n">
        <f aca="false">IF(B43="末尾",係数!$D$4*INDEX(シーン見積!$V$4:$V$25,MATCH(A43,シーン見積!$A$4:$A$25,0))*F43/60,係数!$D$5+係数!$D$4*INDEX(シーン見積!$V$4:$V$25,MATCH(A43,シーン見積!$A$4:$A$25,0))*(F43/60+係数!$D$6+INDEX(シーン見積!$Q$4:$Q$25,MATCH(A43,シーン見積!$A$4:$A$25,0))*係数!$D$7)*(1+G43*係数!$D$13)+係数!$D$8+H43*係数!$D$9)</f>
        <v>24.57675</v>
      </c>
      <c r="M43" s="8" t="s">
        <v>195</v>
      </c>
    </row>
    <row r="44" customFormat="false" ht="15" hidden="false" customHeight="false" outlineLevel="0" collapsed="false">
      <c r="A44" s="12" t="s">
        <v>104</v>
      </c>
      <c r="B44" s="12" t="s">
        <v>146</v>
      </c>
      <c r="C44" s="8" t="s">
        <v>196</v>
      </c>
      <c r="D44" s="19" t="s">
        <v>120</v>
      </c>
      <c r="E44" s="12" t="n">
        <f aca="false">MATCH(D44,{"必須","できれば","カット可"},0)</f>
        <v>1</v>
      </c>
      <c r="F44" s="9" t="n">
        <v>25</v>
      </c>
      <c r="G44" s="13" t="n">
        <v>1</v>
      </c>
      <c r="H44" s="13" t="n">
        <v>1</v>
      </c>
      <c r="I44" s="13" t="n">
        <v>0</v>
      </c>
      <c r="J44" s="12" t="n">
        <f aca="false">IF(E44&lt;=INDEX($B$5:$B$8,MATCH(A44,$A$5:$A$8,0)),1,0)</f>
        <v>1</v>
      </c>
      <c r="K44" s="20" t="n">
        <f aca="false">IF(B44="末尾",係数!$C$4*INDEX(シーン見積!$V$4:$V$25,MATCH(A44,シーン見積!$A$4:$A$25,0))*F44/60,係数!$C$5+係数!$C$4*INDEX(シーン見積!$V$4:$V$25,MATCH(A44,シーン見積!$A$4:$A$25,0))*(F44/60+係数!$C$6+INDEX(シーン見積!$Q$4:$Q$25,MATCH(A44,シーン見積!$A$4:$A$25,0))*係数!$C$7)*(1+G44*係数!$C$13)+係数!$C$8+H44*係数!$C$9)</f>
        <v>20.75275</v>
      </c>
      <c r="L44" s="20" t="n">
        <f aca="false">IF(B44="末尾",係数!$D$4*INDEX(シーン見積!$V$4:$V$25,MATCH(A44,シーン見積!$A$4:$A$25,0))*F44/60,係数!$D$5+係数!$D$4*INDEX(シーン見積!$V$4:$V$25,MATCH(A44,シーン見積!$A$4:$A$25,0))*(F44/60+係数!$D$6+INDEX(シーン見積!$Q$4:$Q$25,MATCH(A44,シーン見積!$A$4:$A$25,0))*係数!$D$7)*(1+G44*係数!$D$13)+係数!$D$8+H44*係数!$D$9)</f>
        <v>30.343875</v>
      </c>
      <c r="M44" s="8" t="s">
        <v>197</v>
      </c>
    </row>
    <row r="45" customFormat="false" ht="15" hidden="false" customHeight="false" outlineLevel="0" collapsed="false">
      <c r="A45" s="12" t="s">
        <v>104</v>
      </c>
      <c r="B45" s="12" t="s">
        <v>149</v>
      </c>
      <c r="C45" s="8" t="s">
        <v>198</v>
      </c>
      <c r="D45" s="19" t="s">
        <v>120</v>
      </c>
      <c r="E45" s="12" t="n">
        <f aca="false">MATCH(D45,{"必須","できれば","カット可"},0)</f>
        <v>1</v>
      </c>
      <c r="F45" s="9" t="n">
        <v>20</v>
      </c>
      <c r="G45" s="13" t="n">
        <v>0</v>
      </c>
      <c r="H45" s="13" t="n">
        <v>1</v>
      </c>
      <c r="I45" s="13" t="n">
        <v>0</v>
      </c>
      <c r="J45" s="12" t="n">
        <f aca="false">IF(E45&lt;=INDEX($B$5:$B$8,MATCH(A45,$A$5:$A$8,0)),1,0)</f>
        <v>1</v>
      </c>
      <c r="K45" s="20" t="n">
        <f aca="false">IF(B45="末尾",係数!$C$4*INDEX(シーン見積!$V$4:$V$25,MATCH(A45,シーン見積!$A$4:$A$25,0))*F45/60,係数!$C$5+係数!$C$4*INDEX(シーン見積!$V$4:$V$25,MATCH(A45,シーン見積!$A$4:$A$25,0))*(F45/60+係数!$C$6+INDEX(シーン見積!$Q$4:$Q$25,MATCH(A45,シーン見積!$A$4:$A$25,0))*係数!$C$7)*(1+G45*係数!$C$13)+係数!$C$8+H45*係数!$C$9)</f>
        <v>17.246</v>
      </c>
      <c r="L45" s="20" t="n">
        <f aca="false">IF(B45="末尾",係数!$D$4*INDEX(シーン見積!$V$4:$V$25,MATCH(A45,シーン見積!$A$4:$A$25,0))*F45/60,係数!$D$5+係数!$D$4*INDEX(シーン見積!$V$4:$V$25,MATCH(A45,シーン見積!$A$4:$A$25,0))*(F45/60+係数!$D$6+INDEX(シーン見積!$Q$4:$Q$25,MATCH(A45,シーン見積!$A$4:$A$25,0))*係数!$D$7)*(1+G45*係数!$D$13)+係数!$D$8+H45*係数!$D$9)</f>
        <v>25.0696666666667</v>
      </c>
      <c r="M45" s="8" t="s">
        <v>199</v>
      </c>
    </row>
    <row r="46" customFormat="false" ht="15" hidden="false" customHeight="false" outlineLevel="0" collapsed="false">
      <c r="A46" s="12" t="s">
        <v>104</v>
      </c>
      <c r="B46" s="12" t="s">
        <v>152</v>
      </c>
      <c r="C46" s="8" t="s">
        <v>200</v>
      </c>
      <c r="D46" s="19" t="s">
        <v>98</v>
      </c>
      <c r="E46" s="12" t="n">
        <f aca="false">MATCH(D46,{"必須","できれば","カット可"},0)</f>
        <v>3</v>
      </c>
      <c r="F46" s="9" t="n">
        <v>15</v>
      </c>
      <c r="G46" s="13" t="n">
        <v>0</v>
      </c>
      <c r="H46" s="13" t="n">
        <v>1</v>
      </c>
      <c r="I46" s="13" t="n">
        <v>0</v>
      </c>
      <c r="J46" s="12" t="n">
        <f aca="false">IF(E46&lt;=INDEX($B$5:$B$8,MATCH(A46,$A$5:$A$8,0)),1,0)</f>
        <v>0</v>
      </c>
      <c r="K46" s="20" t="n">
        <f aca="false">IF(B46="末尾",係数!$C$4*INDEX(シーン見積!$V$4:$V$25,MATCH(A46,シーン見積!$A$4:$A$25,0))*F46/60,係数!$C$5+係数!$C$4*INDEX(シーン見積!$V$4:$V$25,MATCH(A46,シーン見積!$A$4:$A$25,0))*(F46/60+係数!$C$6+INDEX(シーン見積!$Q$4:$Q$25,MATCH(A46,シーン見積!$A$4:$A$25,0))*係数!$C$7)*(1+G46*係数!$C$13)+係数!$C$8+H46*係数!$C$9)</f>
        <v>16.8235</v>
      </c>
      <c r="L46" s="20" t="n">
        <f aca="false">IF(B46="末尾",係数!$D$4*INDEX(シーン見積!$V$4:$V$25,MATCH(A46,シーン見積!$A$4:$A$25,0))*F46/60,係数!$D$5+係数!$D$4*INDEX(シーン見積!$V$4:$V$25,MATCH(A46,シーン見積!$A$4:$A$25,0))*(F46/60+係数!$D$6+INDEX(シーン見積!$Q$4:$Q$25,MATCH(A46,シーン見積!$A$4:$A$25,0))*係数!$D$7)*(1+G46*係数!$D$13)+係数!$D$8+H46*係数!$D$9)</f>
        <v>24.57675</v>
      </c>
      <c r="M46" s="8" t="s">
        <v>201</v>
      </c>
    </row>
    <row r="47" customFormat="false" ht="15" hidden="false" customHeight="false" outlineLevel="0" collapsed="false">
      <c r="A47" s="12" t="s">
        <v>105</v>
      </c>
      <c r="B47" s="12" t="s">
        <v>118</v>
      </c>
      <c r="C47" s="8" t="s">
        <v>202</v>
      </c>
      <c r="D47" s="19" t="s">
        <v>120</v>
      </c>
      <c r="E47" s="12" t="n">
        <f aca="false">MATCH(D47,{"必須","できれば","カット可"},0)</f>
        <v>1</v>
      </c>
      <c r="F47" s="9" t="n">
        <v>25</v>
      </c>
      <c r="G47" s="13" t="n">
        <v>1</v>
      </c>
      <c r="H47" s="13" t="n">
        <v>0</v>
      </c>
      <c r="I47" s="13" t="n">
        <v>0</v>
      </c>
      <c r="J47" s="12" t="n">
        <f aca="false">IF(E47&lt;=INDEX($B$5:$B$8,MATCH(A47,$A$5:$A$8,0)),1,0)</f>
        <v>1</v>
      </c>
      <c r="K47" s="20" t="n">
        <f aca="false">IF(B47="末尾",係数!$C$4*INDEX(シーン見積!$V$4:$V$25,MATCH(A47,シーン見積!$A$4:$A$25,0))*F47/60,係数!$C$5+係数!$C$4*INDEX(シーン見積!$V$4:$V$25,MATCH(A47,シーン見積!$A$4:$A$25,0))*(F47/60+係数!$C$6+INDEX(シーン見積!$Q$4:$Q$25,MATCH(A47,シーン見積!$A$4:$A$25,0))*係数!$C$7)*(1+G47*係数!$C$13)+係数!$C$8+H47*係数!$C$9)</f>
        <v>15.7125</v>
      </c>
      <c r="L47" s="20" t="n">
        <f aca="false">IF(B47="末尾",係数!$D$4*INDEX(シーン見積!$V$4:$V$25,MATCH(A47,シーン見積!$A$4:$A$25,0))*F47/60,係数!$D$5+係数!$D$4*INDEX(シーン見積!$V$4:$V$25,MATCH(A47,シーン見積!$A$4:$A$25,0))*(F47/60+係数!$D$6+INDEX(シーン見積!$Q$4:$Q$25,MATCH(A47,シーン見積!$A$4:$A$25,0))*係数!$D$7)*(1+G47*係数!$D$13)+係数!$D$8+H47*係数!$D$9)</f>
        <v>22.73125</v>
      </c>
      <c r="M47" s="8" t="s">
        <v>203</v>
      </c>
    </row>
    <row r="48" customFormat="false" ht="15" hidden="false" customHeight="false" outlineLevel="0" collapsed="false">
      <c r="A48" s="12" t="s">
        <v>105</v>
      </c>
      <c r="B48" s="12" t="s">
        <v>122</v>
      </c>
      <c r="C48" s="8" t="s">
        <v>204</v>
      </c>
      <c r="D48" s="19" t="s">
        <v>97</v>
      </c>
      <c r="E48" s="12" t="n">
        <f aca="false">MATCH(D48,{"必須","できれば","カット可"},0)</f>
        <v>2</v>
      </c>
      <c r="F48" s="9" t="n">
        <v>20</v>
      </c>
      <c r="G48" s="13" t="n">
        <v>0</v>
      </c>
      <c r="H48" s="13" t="n">
        <v>0</v>
      </c>
      <c r="I48" s="13" t="n">
        <v>0</v>
      </c>
      <c r="J48" s="12" t="n">
        <f aca="false">IF(E48&lt;=INDEX($B$5:$B$8,MATCH(A48,$A$5:$A$8,0)),1,0)</f>
        <v>0</v>
      </c>
      <c r="K48" s="20" t="n">
        <f aca="false">IF(B48="末尾",係数!$C$4*INDEX(シーン見積!$V$4:$V$25,MATCH(A48,シーン見積!$A$4:$A$25,0))*F48/60,係数!$C$5+係数!$C$4*INDEX(シーン見積!$V$4:$V$25,MATCH(A48,シーン見積!$A$4:$A$25,0))*(F48/60+係数!$C$6+INDEX(シーン見積!$Q$4:$Q$25,MATCH(A48,シーン見積!$A$4:$A$25,0))*係数!$C$7)*(1+G48*係数!$C$13)+係数!$C$8+H48*係数!$C$9)</f>
        <v>12.6</v>
      </c>
      <c r="L48" s="20" t="n">
        <f aca="false">IF(B48="末尾",係数!$D$4*INDEX(シーン見積!$V$4:$V$25,MATCH(A48,シーン見積!$A$4:$A$25,0))*F48/60,係数!$D$5+係数!$D$4*INDEX(シーン見積!$V$4:$V$25,MATCH(A48,シーン見積!$A$4:$A$25,0))*(F48/60+係数!$D$6+INDEX(シーン見積!$Q$4:$Q$25,MATCH(A48,シーン見積!$A$4:$A$25,0))*係数!$D$7)*(1+G48*係数!$D$13)+係数!$D$8+H48*係数!$D$9)</f>
        <v>18.05</v>
      </c>
      <c r="M48" s="8" t="s">
        <v>205</v>
      </c>
    </row>
    <row r="49" customFormat="false" ht="15" hidden="false" customHeight="false" outlineLevel="0" collapsed="false">
      <c r="A49" s="12" t="s">
        <v>105</v>
      </c>
      <c r="B49" s="12" t="s">
        <v>125</v>
      </c>
      <c r="C49" s="8" t="s">
        <v>206</v>
      </c>
      <c r="D49" s="19" t="s">
        <v>120</v>
      </c>
      <c r="E49" s="12" t="n">
        <f aca="false">MATCH(D49,{"必須","できれば","カット可"},0)</f>
        <v>1</v>
      </c>
      <c r="F49" s="9" t="n">
        <v>15</v>
      </c>
      <c r="G49" s="13" t="n">
        <v>0</v>
      </c>
      <c r="H49" s="13" t="n">
        <v>0</v>
      </c>
      <c r="I49" s="13" t="n">
        <v>0</v>
      </c>
      <c r="J49" s="12" t="n">
        <f aca="false">IF(E49&lt;=INDEX($B$5:$B$8,MATCH(A49,$A$5:$A$8,0)),1,0)</f>
        <v>1</v>
      </c>
      <c r="K49" s="20" t="n">
        <f aca="false">IF(B49="末尾",係数!$C$4*INDEX(シーン見積!$V$4:$V$25,MATCH(A49,シーン見積!$A$4:$A$25,0))*F49/60,係数!$C$5+係数!$C$4*INDEX(シーン見積!$V$4:$V$25,MATCH(A49,シーン見積!$A$4:$A$25,0))*(F49/60+係数!$C$6+INDEX(シーン見積!$Q$4:$Q$25,MATCH(A49,シーン見積!$A$4:$A$25,0))*係数!$C$7)*(1+G49*係数!$C$13)+係数!$C$8+H49*係数!$C$9)</f>
        <v>12.225</v>
      </c>
      <c r="L49" s="20" t="n">
        <f aca="false">IF(B49="末尾",係数!$D$4*INDEX(シーン見積!$V$4:$V$25,MATCH(A49,シーン見積!$A$4:$A$25,0))*F49/60,係数!$D$5+係数!$D$4*INDEX(シーン見積!$V$4:$V$25,MATCH(A49,シーン見積!$A$4:$A$25,0))*(F49/60+係数!$D$6+INDEX(シーン見積!$Q$4:$Q$25,MATCH(A49,シーン見積!$A$4:$A$25,0))*係数!$D$7)*(1+G49*係数!$D$13)+係数!$D$8+H49*係数!$D$9)</f>
        <v>17.6125</v>
      </c>
      <c r="M49" s="8" t="s">
        <v>207</v>
      </c>
    </row>
    <row r="50" customFormat="false" ht="15" hidden="false" customHeight="false" outlineLevel="0" collapsed="false">
      <c r="A50" s="12" t="s">
        <v>105</v>
      </c>
      <c r="B50" s="12" t="s">
        <v>128</v>
      </c>
      <c r="C50" s="8" t="s">
        <v>208</v>
      </c>
      <c r="D50" s="19" t="s">
        <v>120</v>
      </c>
      <c r="E50" s="12" t="n">
        <f aca="false">MATCH(D50,{"必須","できれば","カット可"},0)</f>
        <v>1</v>
      </c>
      <c r="F50" s="9" t="n">
        <v>12</v>
      </c>
      <c r="G50" s="13" t="n">
        <v>0</v>
      </c>
      <c r="H50" s="13" t="n">
        <v>0</v>
      </c>
      <c r="I50" s="13" t="n">
        <v>0</v>
      </c>
      <c r="J50" s="12" t="n">
        <f aca="false">IF(E50&lt;=INDEX($B$5:$B$8,MATCH(A50,$A$5:$A$8,0)),1,0)</f>
        <v>1</v>
      </c>
      <c r="K50" s="20" t="n">
        <f aca="false">IF(B50="末尾",係数!$C$4*INDEX(シーン見積!$V$4:$V$25,MATCH(A50,シーン見積!$A$4:$A$25,0))*F50/60,係数!$C$5+係数!$C$4*INDEX(シーン見積!$V$4:$V$25,MATCH(A50,シーン見積!$A$4:$A$25,0))*(F50/60+係数!$C$6+INDEX(シーン見積!$Q$4:$Q$25,MATCH(A50,シーン見積!$A$4:$A$25,0))*係数!$C$7)*(1+G50*係数!$C$13)+係数!$C$8+H50*係数!$C$9)</f>
        <v>12</v>
      </c>
      <c r="L50" s="20" t="n">
        <f aca="false">IF(B50="末尾",係数!$D$4*INDEX(シーン見積!$V$4:$V$25,MATCH(A50,シーン見積!$A$4:$A$25,0))*F50/60,係数!$D$5+係数!$D$4*INDEX(シーン見積!$V$4:$V$25,MATCH(A50,シーン見積!$A$4:$A$25,0))*(F50/60+係数!$D$6+INDEX(シーン見積!$Q$4:$Q$25,MATCH(A50,シーン見積!$A$4:$A$25,0))*係数!$D$7)*(1+G50*係数!$D$13)+係数!$D$8+H50*係数!$D$9)</f>
        <v>17.35</v>
      </c>
      <c r="M50" s="12" t="s">
        <v>209</v>
      </c>
    </row>
    <row r="51" customFormat="false" ht="15" hidden="false" customHeight="false" outlineLevel="0" collapsed="false">
      <c r="A51" s="12" t="s">
        <v>105</v>
      </c>
      <c r="B51" s="12" t="s">
        <v>131</v>
      </c>
      <c r="C51" s="8" t="s">
        <v>210</v>
      </c>
      <c r="D51" s="19" t="s">
        <v>120</v>
      </c>
      <c r="E51" s="12" t="n">
        <f aca="false">MATCH(D51,{"必須","できれば","カット可"},0)</f>
        <v>1</v>
      </c>
      <c r="F51" s="9" t="n">
        <v>25</v>
      </c>
      <c r="G51" s="13" t="n">
        <v>1</v>
      </c>
      <c r="H51" s="13" t="n">
        <v>0</v>
      </c>
      <c r="I51" s="13" t="n">
        <v>0</v>
      </c>
      <c r="J51" s="12" t="n">
        <f aca="false">IF(E51&lt;=INDEX($B$5:$B$8,MATCH(A51,$A$5:$A$8,0)),1,0)</f>
        <v>1</v>
      </c>
      <c r="K51" s="20" t="n">
        <f aca="false">IF(B51="末尾",係数!$C$4*INDEX(シーン見積!$V$4:$V$25,MATCH(A51,シーン見積!$A$4:$A$25,0))*F51/60,係数!$C$5+係数!$C$4*INDEX(シーン見積!$V$4:$V$25,MATCH(A51,シーン見積!$A$4:$A$25,0))*(F51/60+係数!$C$6+INDEX(シーン見積!$Q$4:$Q$25,MATCH(A51,シーン見積!$A$4:$A$25,0))*係数!$C$7)*(1+G51*係数!$C$13)+係数!$C$8+H51*係数!$C$9)</f>
        <v>15.7125</v>
      </c>
      <c r="L51" s="20" t="n">
        <f aca="false">IF(B51="末尾",係数!$D$4*INDEX(シーン見積!$V$4:$V$25,MATCH(A51,シーン見積!$A$4:$A$25,0))*F51/60,係数!$D$5+係数!$D$4*INDEX(シーン見積!$V$4:$V$25,MATCH(A51,シーン見積!$A$4:$A$25,0))*(F51/60+係数!$D$6+INDEX(シーン見積!$Q$4:$Q$25,MATCH(A51,シーン見積!$A$4:$A$25,0))*係数!$D$7)*(1+G51*係数!$D$13)+係数!$D$8+H51*係数!$D$9)</f>
        <v>22.73125</v>
      </c>
      <c r="M51" s="8" t="s">
        <v>211</v>
      </c>
    </row>
    <row r="52" customFormat="false" ht="15" hidden="false" customHeight="false" outlineLevel="0" collapsed="false">
      <c r="A52" s="12" t="s">
        <v>105</v>
      </c>
      <c r="B52" s="8" t="s">
        <v>212</v>
      </c>
      <c r="C52" s="8" t="s">
        <v>213</v>
      </c>
      <c r="D52" s="19" t="s">
        <v>97</v>
      </c>
      <c r="E52" s="12" t="n">
        <f aca="false">MATCH(D52,{"必須","できれば","カット可"},0)</f>
        <v>2</v>
      </c>
      <c r="F52" s="9" t="n">
        <v>15</v>
      </c>
      <c r="G52" s="13" t="n">
        <v>0</v>
      </c>
      <c r="H52" s="13" t="n">
        <v>1</v>
      </c>
      <c r="I52" s="13" t="n">
        <v>0</v>
      </c>
      <c r="J52" s="12" t="n">
        <f aca="false">IF(E52&lt;=INDEX($B$5:$B$8,MATCH(A52,$A$5:$A$8,0)),1,0)</f>
        <v>0</v>
      </c>
      <c r="K52" s="20" t="n">
        <f aca="false">IF(B52="末尾",係数!$C$4*INDEX(シーン見積!$V$4:$V$25,MATCH(A52,シーン見積!$A$4:$A$25,0))*F52/60,係数!$C$5+係数!$C$4*INDEX(シーン見積!$V$4:$V$25,MATCH(A52,シーン見積!$A$4:$A$25,0))*(F52/60+係数!$C$6+INDEX(シーン見積!$Q$4:$Q$25,MATCH(A52,シーン見積!$A$4:$A$25,0))*係数!$C$7)*(1+G52*係数!$C$13)+係数!$C$8+H52*係数!$C$9)</f>
        <v>1.125</v>
      </c>
      <c r="L52" s="20" t="n">
        <f aca="false">IF(B52="末尾",係数!$D$4*INDEX(シーン見積!$V$4:$V$25,MATCH(A52,シーン見積!$A$4:$A$25,0))*F52/60,係数!$D$5+係数!$D$4*INDEX(シーン見積!$V$4:$V$25,MATCH(A52,シーン見積!$A$4:$A$25,0))*(F52/60+係数!$D$6+INDEX(シーン見積!$Q$4:$Q$25,MATCH(A52,シーン見積!$A$4:$A$25,0))*係数!$D$7)*(1+G52*係数!$D$13)+係数!$D$8+H52*係数!$D$9)</f>
        <v>1.3125</v>
      </c>
      <c r="M52" s="12" t="s">
        <v>214</v>
      </c>
    </row>
    <row r="53" customFormat="false" ht="1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customFormat="false" ht="15" hidden="false" customHeight="false" outlineLevel="0" collapsed="false">
      <c r="A54" s="21" t="s">
        <v>215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</row>
    <row r="55" customFormat="false" ht="15" hidden="false" customHeight="false" outlineLevel="0" collapsed="false">
      <c r="A55" s="21" t="s">
        <v>216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</row>
  </sheetData>
  <conditionalFormatting sqref="D12:D52">
    <cfRule type="cellIs" priority="2" operator="equal" aboveAverage="0" equalAverage="0" bottom="0" percent="0" rank="0" text="" dxfId="0">
      <formula>"必須"</formula>
    </cfRule>
    <cfRule type="cellIs" priority="3" operator="equal" aboveAverage="0" equalAverage="0" bottom="0" percent="0" rank="0" text="" dxfId="1">
      <formula>"カット可"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7"/>
    <col collapsed="false" customWidth="true" hidden="false" outlineLevel="0" max="4" min="4" style="0" width="24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19" min="7" style="0" width="8"/>
    <col collapsed="false" customWidth="true" hidden="false" outlineLevel="0" max="20" min="20" style="0" width="24"/>
    <col collapsed="false" customWidth="true" hidden="false" outlineLevel="0" max="21" min="21" style="0" width="56"/>
    <col collapsed="false" customWidth="true" hidden="false" outlineLevel="0" max="35" min="22" style="0" width="8"/>
    <col collapsed="false" customWidth="true" hidden="false" outlineLevel="0" max="36" min="36" style="0" width="10"/>
    <col collapsed="false" customWidth="true" hidden="false" outlineLevel="0" max="43" min="37" style="0" width="8"/>
    <col collapsed="false" customWidth="true" hidden="false" outlineLevel="0" max="44" min="44" style="0" width="44"/>
  </cols>
  <sheetData>
    <row r="1" customFormat="false" ht="15" hidden="false" customHeight="false" outlineLevel="0" collapsed="false">
      <c r="A1" s="4" t="s">
        <v>217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</row>
    <row r="2" customFormat="false" ht="15" hidden="false" customHeight="false" outlineLevel="0" collapsed="false">
      <c r="A2" s="6" t="s">
        <v>218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 customFormat="false" ht="45" hidden="false" customHeight="true" outlineLevel="0" collapsed="false">
      <c r="A3" s="14" t="s">
        <v>94</v>
      </c>
      <c r="B3" s="7" t="s">
        <v>219</v>
      </c>
      <c r="C3" s="7" t="s">
        <v>220</v>
      </c>
      <c r="D3" s="7" t="s">
        <v>221</v>
      </c>
      <c r="E3" s="7" t="s">
        <v>222</v>
      </c>
      <c r="F3" s="7" t="s">
        <v>223</v>
      </c>
      <c r="G3" s="7" t="s">
        <v>224</v>
      </c>
      <c r="H3" s="7" t="s">
        <v>225</v>
      </c>
      <c r="I3" s="7" t="s">
        <v>226</v>
      </c>
      <c r="J3" s="7" t="s">
        <v>227</v>
      </c>
      <c r="K3" s="7" t="s">
        <v>228</v>
      </c>
      <c r="L3" s="7" t="s">
        <v>229</v>
      </c>
      <c r="M3" s="7" t="s">
        <v>230</v>
      </c>
      <c r="N3" s="7" t="s">
        <v>231</v>
      </c>
      <c r="O3" s="7" t="s">
        <v>232</v>
      </c>
      <c r="P3" s="7" t="s">
        <v>233</v>
      </c>
      <c r="Q3" s="7" t="s">
        <v>234</v>
      </c>
      <c r="R3" s="7" t="s">
        <v>235</v>
      </c>
      <c r="S3" s="7" t="s">
        <v>236</v>
      </c>
      <c r="T3" s="7" t="s">
        <v>237</v>
      </c>
      <c r="U3" s="7" t="s">
        <v>238</v>
      </c>
      <c r="V3" s="7" t="s">
        <v>239</v>
      </c>
      <c r="W3" s="7" t="s">
        <v>240</v>
      </c>
      <c r="X3" s="7" t="s">
        <v>241</v>
      </c>
      <c r="Y3" s="7" t="s">
        <v>242</v>
      </c>
      <c r="Z3" s="7" t="s">
        <v>243</v>
      </c>
      <c r="AA3" s="7" t="s">
        <v>244</v>
      </c>
      <c r="AB3" s="7" t="s">
        <v>245</v>
      </c>
      <c r="AC3" s="7" t="s">
        <v>246</v>
      </c>
      <c r="AD3" s="7" t="s">
        <v>247</v>
      </c>
      <c r="AE3" s="7" t="s">
        <v>248</v>
      </c>
      <c r="AF3" s="7" t="s">
        <v>249</v>
      </c>
      <c r="AG3" s="7" t="s">
        <v>250</v>
      </c>
      <c r="AH3" s="7" t="s">
        <v>251</v>
      </c>
      <c r="AI3" s="7" t="s">
        <v>252</v>
      </c>
      <c r="AJ3" s="7" t="s">
        <v>253</v>
      </c>
      <c r="AK3" s="7" t="s">
        <v>254</v>
      </c>
      <c r="AL3" s="7" t="s">
        <v>255</v>
      </c>
      <c r="AM3" s="7" t="s">
        <v>256</v>
      </c>
      <c r="AN3" s="7" t="s">
        <v>257</v>
      </c>
      <c r="AO3" s="7" t="s">
        <v>258</v>
      </c>
      <c r="AP3" s="7" t="s">
        <v>259</v>
      </c>
      <c r="AQ3" s="7" t="s">
        <v>260</v>
      </c>
      <c r="AR3" s="7" t="s">
        <v>261</v>
      </c>
    </row>
    <row r="4" customFormat="false" ht="15" hidden="false" customHeight="false" outlineLevel="0" collapsed="false">
      <c r="A4" s="16" t="s">
        <v>262</v>
      </c>
      <c r="B4" s="22" t="n">
        <v>46326</v>
      </c>
      <c r="C4" s="16" t="s">
        <v>263</v>
      </c>
      <c r="D4" s="23" t="s">
        <v>264</v>
      </c>
      <c r="E4" s="23" t="s">
        <v>265</v>
      </c>
      <c r="F4" s="23" t="s">
        <v>266</v>
      </c>
      <c r="G4" s="11" t="n">
        <v>30</v>
      </c>
      <c r="H4" s="11" t="n">
        <v>3</v>
      </c>
      <c r="I4" s="13" t="n">
        <v>5</v>
      </c>
      <c r="J4" s="13" t="n">
        <v>2</v>
      </c>
      <c r="K4" s="13" t="n">
        <v>1</v>
      </c>
      <c r="L4" s="13" t="n">
        <v>0</v>
      </c>
      <c r="M4" s="24" t="n">
        <f aca="false">係数!$B$26</f>
        <v>10</v>
      </c>
      <c r="N4" s="13" t="n">
        <v>2</v>
      </c>
      <c r="O4" s="13" t="n">
        <v>0</v>
      </c>
      <c r="P4" s="13" t="n">
        <v>0</v>
      </c>
      <c r="Q4" s="13" t="n">
        <v>0</v>
      </c>
      <c r="R4" s="25" t="s">
        <v>49</v>
      </c>
      <c r="S4" s="9" t="n">
        <v>20</v>
      </c>
      <c r="T4" s="23" t="s">
        <v>267</v>
      </c>
      <c r="U4" s="23" t="s">
        <v>268</v>
      </c>
      <c r="V4" s="26" t="n">
        <f aca="false">VLOOKUP(MIN(J4,3),係数!$A$32:$B$35,2,TRUE())*IF(L4=1,係数!$B$28,1)*VLOOKUP(M4,係数!$A$38:$B$41,2,TRUE())*IF(P4=1,係数!$B$29,1)</f>
        <v>1.5</v>
      </c>
      <c r="W4" s="27" t="n">
        <f aca="false">INDEX(係数!$B$10:$B$12,MATCH(R4,係数!$A$10:$A$12,0))*(1-AN4)</f>
        <v>0</v>
      </c>
      <c r="X4" s="27" t="n">
        <f aca="false">H4*(係数!$B$5+係数!$B$4*V4*(S4/60+係数!$B$6+Q4*係数!$B$7))+N4*係数!$B$13*係数!$B$4*V4*(S4/60+係数!$B$6+Q4*係数!$B$7)</f>
        <v>13</v>
      </c>
      <c r="Y4" s="27" t="n">
        <f aca="false">MAX(H4-1,0)*係数!$B$8+O4*係数!$B$9</f>
        <v>8</v>
      </c>
      <c r="Z4" s="28" t="n">
        <f aca="false">ROUND((W4+X4+Y4)*AI4,0)</f>
        <v>21</v>
      </c>
      <c r="AA4" s="27" t="n">
        <f aca="false">INDEX(係数!$C$10:$C$12,MATCH(R4,係数!$A$10:$A$12,0))*(1-AN4)</f>
        <v>0</v>
      </c>
      <c r="AB4" s="27" t="n">
        <f aca="false">H4*(係数!$C$5+係数!$C$4*V4*(S4/60+係数!$C$6+Q4*係数!$C$7))+N4*係数!$C$13*係数!$C$4*V4*(S4/60+係数!$C$6+Q4*係数!$C$7)</f>
        <v>24.9</v>
      </c>
      <c r="AC4" s="27" t="n">
        <f aca="false">MAX(H4-1,0)*係数!$C$8+O4*係数!$C$9</f>
        <v>12</v>
      </c>
      <c r="AD4" s="28" t="n">
        <f aca="false">ROUND((AA4+AB4+AC4)*AI4,0)</f>
        <v>37</v>
      </c>
      <c r="AE4" s="27" t="n">
        <f aca="false">INDEX(係数!$D$10:$D$12,MATCH(R4,係数!$A$10:$A$12,0))*(1-AN4)</f>
        <v>0</v>
      </c>
      <c r="AF4" s="27" t="n">
        <f aca="false">H4*(係数!$D$5+係数!$D$4*V4*(S4/60+係数!$D$6+Q4*係数!$D$7))+N4*係数!$D$13*係数!$D$4*V4*(S4/60+係数!$D$6+Q4*係数!$D$7)</f>
        <v>38.2</v>
      </c>
      <c r="AG4" s="27" t="n">
        <f aca="false">MAX(H4-1,0)*係数!$D$8+O4*係数!$D$9</f>
        <v>16</v>
      </c>
      <c r="AH4" s="28" t="n">
        <f aca="false">ROUND((AE4+AF4+AG4)*AI4,0)</f>
        <v>54</v>
      </c>
      <c r="AI4" s="29" t="n">
        <v>1</v>
      </c>
      <c r="AJ4" s="8" t="str">
        <f aca="false">IF(G4&gt;=AH4,"余裕あり",IF(G4&gt;=AD4,"適正",IF(G4&gt;=Z4,"ギリギリ","不足")))</f>
        <v>ギリギリ</v>
      </c>
      <c r="AK4" s="12" t="n">
        <f aca="false">G4-AD4</f>
        <v>-7</v>
      </c>
      <c r="AL4" s="30" t="n">
        <v>0.479166666666667</v>
      </c>
      <c r="AM4" s="30" t="n">
        <v>0.5</v>
      </c>
      <c r="AN4" s="13" t="n">
        <v>1</v>
      </c>
      <c r="AO4" s="12" t="n">
        <f aca="false">H4</f>
        <v>3</v>
      </c>
      <c r="AP4" s="28" t="n">
        <f aca="false">AD4</f>
        <v>37</v>
      </c>
      <c r="AQ4" s="27" t="n">
        <f aca="false">AH4</f>
        <v>54</v>
      </c>
      <c r="AR4" s="8" t="s">
        <v>269</v>
      </c>
    </row>
    <row r="5" customFormat="false" ht="15" hidden="false" customHeight="false" outlineLevel="0" collapsed="false">
      <c r="A5" s="16" t="s">
        <v>270</v>
      </c>
      <c r="B5" s="22" t="n">
        <v>46326</v>
      </c>
      <c r="C5" s="16" t="s">
        <v>263</v>
      </c>
      <c r="D5" s="23" t="s">
        <v>271</v>
      </c>
      <c r="E5" s="23" t="s">
        <v>272</v>
      </c>
      <c r="F5" s="23" t="s">
        <v>266</v>
      </c>
      <c r="G5" s="11" t="n">
        <v>40</v>
      </c>
      <c r="H5" s="11" t="n">
        <v>1</v>
      </c>
      <c r="I5" s="13" t="n">
        <v>1</v>
      </c>
      <c r="J5" s="13" t="n">
        <v>2</v>
      </c>
      <c r="K5" s="13" t="n">
        <v>0</v>
      </c>
      <c r="L5" s="13" t="n">
        <v>0</v>
      </c>
      <c r="M5" s="24" t="n">
        <f aca="false">係数!$B$26</f>
        <v>10</v>
      </c>
      <c r="N5" s="13" t="n">
        <v>1</v>
      </c>
      <c r="O5" s="13" t="n">
        <v>0</v>
      </c>
      <c r="P5" s="13" t="n">
        <v>0</v>
      </c>
      <c r="Q5" s="13" t="n">
        <v>1</v>
      </c>
      <c r="R5" s="25" t="s">
        <v>47</v>
      </c>
      <c r="S5" s="9" t="n">
        <v>40</v>
      </c>
      <c r="T5" s="23" t="s">
        <v>273</v>
      </c>
      <c r="U5" s="23" t="s">
        <v>274</v>
      </c>
      <c r="V5" s="26" t="n">
        <f aca="false">VLOOKUP(MIN(J5,3),係数!$A$32:$B$35,2,TRUE())*IF(L5=1,係数!$B$28,1)*VLOOKUP(M5,係数!$A$38:$B$41,2,TRUE())*IF(P5=1,係数!$B$29,1)</f>
        <v>1.5</v>
      </c>
      <c r="W5" s="27" t="n">
        <f aca="false">INDEX(係数!$B$10:$B$12,MATCH(R5,係数!$A$10:$A$12,0))*(1-AN5)</f>
        <v>12</v>
      </c>
      <c r="X5" s="27" t="n">
        <f aca="false">H5*(係数!$B$5+係数!$B$4*V5*(S5/60+係数!$B$6+Q5*係数!$B$7))+N5*係数!$B$13*係数!$B$4*V5*(S5/60+係数!$B$6+Q5*係数!$B$7)</f>
        <v>13</v>
      </c>
      <c r="Y5" s="27" t="n">
        <f aca="false">MAX(H5-1,0)*係数!$B$8+O5*係数!$B$9</f>
        <v>0</v>
      </c>
      <c r="Z5" s="28" t="n">
        <f aca="false">ROUND((W5+X5+Y5)*AI5,0)</f>
        <v>25</v>
      </c>
      <c r="AA5" s="27" t="n">
        <f aca="false">INDEX(係数!$C$10:$C$12,MATCH(R5,係数!$A$10:$A$12,0))*(1-AN5)</f>
        <v>20</v>
      </c>
      <c r="AB5" s="27" t="n">
        <f aca="false">H5*(係数!$C$5+係数!$C$4*V5*(S5/60+係数!$C$6+Q5*係数!$C$7))+N5*係数!$C$13*係数!$C$4*V5*(S5/60+係数!$C$6+Q5*係数!$C$7)</f>
        <v>28.275</v>
      </c>
      <c r="AC5" s="27" t="n">
        <f aca="false">MAX(H5-1,0)*係数!$C$8+O5*係数!$C$9</f>
        <v>0</v>
      </c>
      <c r="AD5" s="28" t="n">
        <f aca="false">ROUND((AA5+AB5+AC5)*AI5,0)</f>
        <v>48</v>
      </c>
      <c r="AE5" s="27" t="n">
        <f aca="false">INDEX(係数!$D$10:$D$12,MATCH(R5,係数!$A$10:$A$12,0))*(1-AN5)</f>
        <v>30</v>
      </c>
      <c r="AF5" s="27" t="n">
        <f aca="false">H5*(係数!$D$5+係数!$D$4*V5*(S5/60+係数!$D$6+Q5*係数!$D$7))+N5*係数!$D$13*係数!$D$4*V5*(S5/60+係数!$D$6+Q5*係数!$D$7)</f>
        <v>48.2</v>
      </c>
      <c r="AG5" s="27" t="n">
        <f aca="false">MAX(H5-1,0)*係数!$D$8+O5*係数!$D$9</f>
        <v>0</v>
      </c>
      <c r="AH5" s="28" t="n">
        <f aca="false">ROUND((AE5+AF5+AG5)*AI5,0)</f>
        <v>78</v>
      </c>
      <c r="AI5" s="29" t="n">
        <v>1</v>
      </c>
      <c r="AJ5" s="8" t="str">
        <f aca="false">IF(G5&gt;=AH5,"余裕あり",IF(G5&gt;=AD5,"適正",IF(G5&gt;=Z5,"ギリギリ","不足")))</f>
        <v>ギリギリ</v>
      </c>
      <c r="AK5" s="12" t="n">
        <f aca="false">G5-AD5</f>
        <v>-8</v>
      </c>
      <c r="AL5" s="30" t="n">
        <v>0.506944444444444</v>
      </c>
      <c r="AM5" s="30" t="n">
        <v>0.534722222222222</v>
      </c>
      <c r="AN5" s="13" t="n">
        <v>0</v>
      </c>
      <c r="AO5" s="12" t="n">
        <f aca="false">H5</f>
        <v>1</v>
      </c>
      <c r="AP5" s="28" t="n">
        <f aca="false">AD5</f>
        <v>48</v>
      </c>
      <c r="AQ5" s="27" t="n">
        <f aca="false">AH5</f>
        <v>78</v>
      </c>
      <c r="AR5" s="8" t="s">
        <v>269</v>
      </c>
    </row>
    <row r="6" customFormat="false" ht="15" hidden="false" customHeight="false" outlineLevel="0" collapsed="false">
      <c r="A6" s="16" t="s">
        <v>275</v>
      </c>
      <c r="B6" s="22" t="n">
        <v>46326</v>
      </c>
      <c r="C6" s="16" t="s">
        <v>263</v>
      </c>
      <c r="D6" s="23" t="s">
        <v>276</v>
      </c>
      <c r="E6" s="23" t="s">
        <v>265</v>
      </c>
      <c r="F6" s="23" t="s">
        <v>277</v>
      </c>
      <c r="G6" s="11" t="n">
        <v>40</v>
      </c>
      <c r="H6" s="11" t="n">
        <v>1</v>
      </c>
      <c r="I6" s="13" t="n">
        <v>0</v>
      </c>
      <c r="J6" s="13" t="n">
        <v>0</v>
      </c>
      <c r="K6" s="13" t="n">
        <v>0</v>
      </c>
      <c r="L6" s="13" t="n">
        <v>0</v>
      </c>
      <c r="M6" s="24" t="n">
        <f aca="false">係数!$B$26</f>
        <v>10</v>
      </c>
      <c r="N6" s="13" t="n">
        <v>0</v>
      </c>
      <c r="O6" s="13" t="n">
        <v>0</v>
      </c>
      <c r="P6" s="13" t="n">
        <v>0</v>
      </c>
      <c r="Q6" s="13" t="n">
        <v>0</v>
      </c>
      <c r="R6" s="25" t="s">
        <v>49</v>
      </c>
      <c r="S6" s="9" t="n">
        <v>20</v>
      </c>
      <c r="T6" s="23" t="s">
        <v>278</v>
      </c>
      <c r="U6" s="23" t="s">
        <v>279</v>
      </c>
      <c r="V6" s="26" t="n">
        <f aca="false">VLOOKUP(MIN(J6,3),係数!$A$32:$B$35,2,TRUE())*IF(L6=1,係数!$B$28,1)*VLOOKUP(M6,係数!$A$38:$B$41,2,TRUE())*IF(P6=1,係数!$B$29,1)</f>
        <v>1.25</v>
      </c>
      <c r="W6" s="27" t="n">
        <f aca="false">INDEX(係数!$B$10:$B$12,MATCH(R6,係数!$A$10:$A$12,0))*(1-AN6)</f>
        <v>8</v>
      </c>
      <c r="X6" s="27" t="n">
        <f aca="false">H6*(係数!$B$5+係数!$B$4*V6*(S6/60+係数!$B$6+Q6*係数!$B$7))+N6*係数!$B$13*係数!$B$4*V6*(S6/60+係数!$B$6+Q6*係数!$B$7)</f>
        <v>3.08333333333333</v>
      </c>
      <c r="Y6" s="27" t="n">
        <f aca="false">MAX(H6-1,0)*係数!$B$8+O6*係数!$B$9</f>
        <v>0</v>
      </c>
      <c r="Z6" s="28" t="n">
        <f aca="false">ROUND((W6+X6+Y6)*AI6,0)</f>
        <v>11</v>
      </c>
      <c r="AA6" s="27" t="n">
        <f aca="false">INDEX(係数!$C$10:$C$12,MATCH(R6,係数!$A$10:$A$12,0))*(1-AN6)</f>
        <v>12</v>
      </c>
      <c r="AB6" s="27" t="n">
        <f aca="false">H6*(係数!$C$5+係数!$C$4*V6*(S6/60+係数!$C$6+Q6*係数!$C$7))+N6*係数!$C$13*係数!$C$4*V6*(S6/60+係数!$C$6+Q6*係数!$C$7)</f>
        <v>5.75</v>
      </c>
      <c r="AC6" s="27" t="n">
        <f aca="false">MAX(H6-1,0)*係数!$C$8+O6*係数!$C$9</f>
        <v>0</v>
      </c>
      <c r="AD6" s="28" t="n">
        <f aca="false">ROUND((AA6+AB6+AC6)*AI6,0)</f>
        <v>18</v>
      </c>
      <c r="AE6" s="27" t="n">
        <f aca="false">INDEX(係数!$D$10:$D$12,MATCH(R6,係数!$A$10:$A$12,0))*(1-AN6)</f>
        <v>18</v>
      </c>
      <c r="AF6" s="27" t="n">
        <f aca="false">H6*(係数!$D$5+係数!$D$4*V6*(S6/60+係数!$D$6+Q6*係数!$D$7))+N6*係数!$D$13*係数!$D$4*V6*(S6/60+係数!$D$6+Q6*係数!$D$7)</f>
        <v>8.70833333333333</v>
      </c>
      <c r="AG6" s="27" t="n">
        <f aca="false">MAX(H6-1,0)*係数!$D$8+O6*係数!$D$9</f>
        <v>0</v>
      </c>
      <c r="AH6" s="28" t="n">
        <f aca="false">ROUND((AE6+AF6+AG6)*AI6,0)</f>
        <v>27</v>
      </c>
      <c r="AI6" s="29" t="n">
        <v>1</v>
      </c>
      <c r="AJ6" s="8" t="str">
        <f aca="false">IF(G6&gt;=AH6,"余裕あり",IF(G6&gt;=AD6,"適正",IF(G6&gt;=Z6,"ギリギリ","不足")))</f>
        <v>余裕あり</v>
      </c>
      <c r="AK6" s="12" t="n">
        <f aca="false">G6-AD6</f>
        <v>22</v>
      </c>
      <c r="AL6" s="30" t="n">
        <v>0.569444444444444</v>
      </c>
      <c r="AM6" s="30" t="n">
        <v>0.597222222222222</v>
      </c>
      <c r="AN6" s="13" t="n">
        <v>0</v>
      </c>
      <c r="AO6" s="12" t="n">
        <f aca="false">H6</f>
        <v>1</v>
      </c>
      <c r="AP6" s="28" t="n">
        <f aca="false">AD6</f>
        <v>18</v>
      </c>
      <c r="AQ6" s="27" t="n">
        <f aca="false">AH6</f>
        <v>27</v>
      </c>
      <c r="AR6" s="8" t="s">
        <v>269</v>
      </c>
    </row>
    <row r="7" customFormat="false" ht="15" hidden="false" customHeight="false" outlineLevel="0" collapsed="false">
      <c r="A7" s="16" t="s">
        <v>280</v>
      </c>
      <c r="B7" s="22" t="n">
        <v>46326</v>
      </c>
      <c r="C7" s="16" t="s">
        <v>263</v>
      </c>
      <c r="D7" s="23" t="s">
        <v>281</v>
      </c>
      <c r="E7" s="23" t="s">
        <v>265</v>
      </c>
      <c r="F7" s="23" t="s">
        <v>282</v>
      </c>
      <c r="G7" s="11" t="n">
        <v>90</v>
      </c>
      <c r="H7" s="11" t="n">
        <v>3</v>
      </c>
      <c r="I7" s="13" t="n">
        <v>6</v>
      </c>
      <c r="J7" s="13" t="n">
        <v>1</v>
      </c>
      <c r="K7" s="13" t="n">
        <v>0</v>
      </c>
      <c r="L7" s="13" t="n">
        <v>0</v>
      </c>
      <c r="M7" s="13" t="n">
        <v>3</v>
      </c>
      <c r="N7" s="13" t="n">
        <v>1</v>
      </c>
      <c r="O7" s="13" t="n">
        <v>0</v>
      </c>
      <c r="P7" s="13" t="n">
        <v>0</v>
      </c>
      <c r="Q7" s="13" t="n">
        <v>0</v>
      </c>
      <c r="R7" s="25" t="s">
        <v>51</v>
      </c>
      <c r="S7" s="9" t="n">
        <v>20</v>
      </c>
      <c r="T7" s="23"/>
      <c r="U7" s="23" t="s">
        <v>283</v>
      </c>
      <c r="V7" s="26" t="n">
        <f aca="false">VLOOKUP(MIN(J7,3),係数!$A$32:$B$35,2,TRUE())*IF(L7=1,係数!$B$28,1)*VLOOKUP(M7,係数!$A$38:$B$41,2,TRUE())*IF(P7=1,係数!$B$29,1)</f>
        <v>1.21</v>
      </c>
      <c r="W7" s="27" t="n">
        <f aca="false">INDEX(係数!$B$10:$B$12,MATCH(R7,係数!$A$10:$A$12,0))*(1-AN7)</f>
        <v>3</v>
      </c>
      <c r="X7" s="27" t="n">
        <f aca="false">H7*(係数!$B$5+係数!$B$4*V7*(S7/60+係数!$B$6+Q7*係数!$B$7))+N7*係数!$B$13*係数!$B$4*V7*(S7/60+係数!$B$6+Q7*係数!$B$7)</f>
        <v>10.0583333333333</v>
      </c>
      <c r="Y7" s="27" t="n">
        <f aca="false">MAX(H7-1,0)*係数!$B$8+O7*係数!$B$9</f>
        <v>8</v>
      </c>
      <c r="Z7" s="28" t="n">
        <f aca="false">ROUND((W7+X7+Y7)*AI7,0)</f>
        <v>21</v>
      </c>
      <c r="AA7" s="27" t="n">
        <f aca="false">INDEX(係数!$C$10:$C$12,MATCH(R7,係数!$A$10:$A$12,0))*(1-AN7)</f>
        <v>5</v>
      </c>
      <c r="AB7" s="27" t="n">
        <f aca="false">H7*(係数!$C$5+係数!$C$4*V7*(S7/60+係数!$C$6+Q7*係数!$C$7))+N7*係数!$C$13*係数!$C$4*V7*(S7/60+係数!$C$6+Q7*係数!$C$7)</f>
        <v>18.899</v>
      </c>
      <c r="AC7" s="27" t="n">
        <f aca="false">MAX(H7-1,0)*係数!$C$8+O7*係数!$C$9</f>
        <v>12</v>
      </c>
      <c r="AD7" s="28" t="n">
        <f aca="false">ROUND((AA7+AB7+AC7)*AI7,0)</f>
        <v>36</v>
      </c>
      <c r="AE7" s="27" t="n">
        <f aca="false">INDEX(係数!$D$10:$D$12,MATCH(R7,係数!$A$10:$A$12,0))*(1-AN7)</f>
        <v>8</v>
      </c>
      <c r="AF7" s="27" t="n">
        <f aca="false">H7*(係数!$D$5+係数!$D$4*V7*(S7/60+係数!$D$6+Q7*係数!$D$7))+N7*係数!$D$13*係数!$D$4*V7*(S7/60+係数!$D$6+Q7*係数!$D$7)</f>
        <v>28.7278333333333</v>
      </c>
      <c r="AG7" s="27" t="n">
        <f aca="false">MAX(H7-1,0)*係数!$D$8+O7*係数!$D$9</f>
        <v>16</v>
      </c>
      <c r="AH7" s="28" t="n">
        <f aca="false">ROUND((AE7+AF7+AG7)*AI7,0)</f>
        <v>53</v>
      </c>
      <c r="AI7" s="29" t="n">
        <v>1</v>
      </c>
      <c r="AJ7" s="8" t="str">
        <f aca="false">IF(G7&gt;=AH7,"余裕あり",IF(G7&gt;=AD7,"適正",IF(G7&gt;=Z7,"ギリギリ","不足")))</f>
        <v>余裕あり</v>
      </c>
      <c r="AK7" s="12" t="n">
        <f aca="false">G7-AD7</f>
        <v>54</v>
      </c>
      <c r="AL7" s="30" t="n">
        <v>0.604166666666667</v>
      </c>
      <c r="AM7" s="30" t="n">
        <v>0.666666666666667</v>
      </c>
      <c r="AN7" s="13" t="n">
        <v>0</v>
      </c>
      <c r="AO7" s="12" t="n">
        <f aca="false">H7</f>
        <v>3</v>
      </c>
      <c r="AP7" s="28" t="n">
        <f aca="false">AD7</f>
        <v>36</v>
      </c>
      <c r="AQ7" s="27" t="n">
        <f aca="false">AH7</f>
        <v>53</v>
      </c>
      <c r="AR7" s="8" t="s">
        <v>284</v>
      </c>
    </row>
    <row r="8" customFormat="false" ht="15" hidden="false" customHeight="false" outlineLevel="0" collapsed="false">
      <c r="A8" s="16" t="s">
        <v>103</v>
      </c>
      <c r="B8" s="22" t="n">
        <v>46327</v>
      </c>
      <c r="C8" s="16" t="s">
        <v>285</v>
      </c>
      <c r="D8" s="23" t="s">
        <v>286</v>
      </c>
      <c r="E8" s="23" t="s">
        <v>272</v>
      </c>
      <c r="F8" s="23" t="s">
        <v>266</v>
      </c>
      <c r="G8" s="11" t="n">
        <v>80</v>
      </c>
      <c r="H8" s="11" t="n">
        <v>10</v>
      </c>
      <c r="I8" s="13" t="n">
        <v>9</v>
      </c>
      <c r="J8" s="13" t="n">
        <v>2</v>
      </c>
      <c r="K8" s="13" t="n">
        <v>1</v>
      </c>
      <c r="L8" s="13" t="n">
        <v>0</v>
      </c>
      <c r="M8" s="24" t="n">
        <f aca="false">係数!$B$25</f>
        <v>12</v>
      </c>
      <c r="N8" s="13" t="n">
        <v>2</v>
      </c>
      <c r="O8" s="13" t="n">
        <v>0</v>
      </c>
      <c r="P8" s="13" t="n">
        <v>0</v>
      </c>
      <c r="Q8" s="13" t="n">
        <v>0</v>
      </c>
      <c r="R8" s="25" t="s">
        <v>47</v>
      </c>
      <c r="S8" s="9" t="n">
        <v>20</v>
      </c>
      <c r="T8" s="23" t="s">
        <v>287</v>
      </c>
      <c r="U8" s="16" t="s">
        <v>288</v>
      </c>
      <c r="V8" s="26" t="n">
        <f aca="false">VLOOKUP(MIN(J8,3),係数!$A$32:$B$35,2,TRUE())*IF(L8=1,係数!$B$28,1)*VLOOKUP(M8,係数!$A$38:$B$41,2,TRUE())*IF(P8=1,係数!$B$29,1)</f>
        <v>1.5</v>
      </c>
      <c r="W8" s="27" t="n">
        <f aca="false">INDEX(係数!$B$10:$B$12,MATCH(R8,係数!$A$10:$A$12,0))*(1-AN8)</f>
        <v>0</v>
      </c>
      <c r="X8" s="27" t="n">
        <f aca="false">H8*(係数!$B$5+係数!$B$4*V8*(S8/60+係数!$B$6+Q8*係数!$B$7))+N8*係数!$B$13*係数!$B$4*V8*(S8/60+係数!$B$6+Q8*係数!$B$7)</f>
        <v>37.5</v>
      </c>
      <c r="Y8" s="27" t="n">
        <f aca="false">MAX(H8-1,0)*係数!$B$8+O8*係数!$B$9</f>
        <v>36</v>
      </c>
      <c r="Z8" s="28" t="n">
        <f aca="false">ROUND((W8+X8+Y8)*AI8,0)</f>
        <v>74</v>
      </c>
      <c r="AA8" s="27" t="n">
        <f aca="false">INDEX(係数!$C$10:$C$12,MATCH(R8,係数!$A$10:$A$12,0))*(1-AN8)</f>
        <v>0</v>
      </c>
      <c r="AB8" s="27" t="n">
        <f aca="false">H8*(係数!$C$5+係数!$C$4*V8*(S8/60+係数!$C$6+Q8*係数!$C$7))+N8*係数!$C$13*係数!$C$4*V8*(S8/60+係数!$C$6+Q8*係数!$C$7)</f>
        <v>71.1</v>
      </c>
      <c r="AC8" s="27" t="n">
        <f aca="false">MAX(H8-1,0)*係数!$C$8+O8*係数!$C$9</f>
        <v>54</v>
      </c>
      <c r="AD8" s="28" t="n">
        <f aca="false">ROUND((AA8+AB8+AC8)*AI8,0)</f>
        <v>125</v>
      </c>
      <c r="AE8" s="27" t="n">
        <f aca="false">INDEX(係数!$D$10:$D$12,MATCH(R8,係数!$A$10:$A$12,0))*(1-AN8)</f>
        <v>0</v>
      </c>
      <c r="AF8" s="27" t="n">
        <f aca="false">H8*(係数!$D$5+係数!$D$4*V8*(S8/60+係数!$D$6+Q8*係数!$D$7))+N8*係数!$D$13*係数!$D$4*V8*(S8/60+係数!$D$6+Q8*係数!$D$7)</f>
        <v>108.55</v>
      </c>
      <c r="AG8" s="27" t="n">
        <f aca="false">MAX(H8-1,0)*係数!$D$8+O8*係数!$D$9</f>
        <v>72</v>
      </c>
      <c r="AH8" s="28" t="n">
        <f aca="false">ROUND((AE8+AF8+AG8)*AI8,0)</f>
        <v>181</v>
      </c>
      <c r="AI8" s="29" t="n">
        <v>1</v>
      </c>
      <c r="AJ8" s="8" t="str">
        <f aca="false">IF(G8&gt;=AH8,"余裕あり",IF(G8&gt;=AD8,"適正",IF(G8&gt;=Z8,"ギリギリ","不足")))</f>
        <v>ギリギリ</v>
      </c>
      <c r="AK8" s="12" t="n">
        <f aca="false">G8-AD8</f>
        <v>-45</v>
      </c>
      <c r="AL8" s="30" t="n">
        <v>0.4375</v>
      </c>
      <c r="AM8" s="30" t="n">
        <v>0.493055555555556</v>
      </c>
      <c r="AN8" s="13" t="n">
        <v>1</v>
      </c>
      <c r="AO8" s="12" t="n">
        <f aca="false">COUNTIFS(構図優先度!$A$12:$A$70,A8,構図優先度!$J$12:$J$70,1,構図優先度!$I$12:$I$70,0,構図優先度!$B$12:$B$70,"&lt;&gt;末尾")</f>
        <v>7</v>
      </c>
      <c r="AP8" s="10" t="n">
        <f aca="false">ROUND((AA8+SUMIFS(構図優先度!$K$12:$K$70,構図優先度!$A$12:$A$70,A8,構図優先度!$J$12:$J$70,1,構図優先度!$I$12:$I$70,0)-IF(AO8&gt;0,係数!$C$8,0))*AI8,0)</f>
        <v>91</v>
      </c>
      <c r="AQ8" s="12" t="n">
        <f aca="false">ROUND((AE8+SUMIFS(構図優先度!$L$12:$L$70,構図優先度!$A$12:$A$70,A8,構図優先度!$J$12:$J$70,1,構図優先度!$I$12:$I$70,0)-IF(AO8&gt;0,係数!$D$8,0))*AI8,0)</f>
        <v>133</v>
      </c>
      <c r="AR8" s="8" t="s">
        <v>269</v>
      </c>
    </row>
    <row r="9" customFormat="false" ht="15" hidden="false" customHeight="false" outlineLevel="0" collapsed="false">
      <c r="A9" s="16" t="s">
        <v>289</v>
      </c>
      <c r="B9" s="22" t="n">
        <v>46327</v>
      </c>
      <c r="C9" s="16" t="s">
        <v>285</v>
      </c>
      <c r="D9" s="23" t="s">
        <v>290</v>
      </c>
      <c r="E9" s="23" t="s">
        <v>272</v>
      </c>
      <c r="F9" s="23" t="s">
        <v>291</v>
      </c>
      <c r="G9" s="11" t="n">
        <v>30</v>
      </c>
      <c r="H9" s="11" t="n">
        <v>2</v>
      </c>
      <c r="I9" s="13" t="n">
        <v>0</v>
      </c>
      <c r="J9" s="13" t="n">
        <v>1</v>
      </c>
      <c r="K9" s="13" t="n">
        <v>1</v>
      </c>
      <c r="L9" s="13" t="n">
        <v>0</v>
      </c>
      <c r="M9" s="24" t="n">
        <f aca="false">係数!$B$25</f>
        <v>12</v>
      </c>
      <c r="N9" s="13" t="n">
        <v>0</v>
      </c>
      <c r="O9" s="13" t="n">
        <v>0</v>
      </c>
      <c r="P9" s="13" t="n">
        <v>0</v>
      </c>
      <c r="Q9" s="13" t="n">
        <v>0</v>
      </c>
      <c r="R9" s="25" t="s">
        <v>51</v>
      </c>
      <c r="S9" s="9" t="n">
        <v>30</v>
      </c>
      <c r="T9" s="23" t="s">
        <v>292</v>
      </c>
      <c r="U9" s="23" t="s">
        <v>293</v>
      </c>
      <c r="V9" s="26" t="n">
        <f aca="false">VLOOKUP(MIN(J9,3),係数!$A$32:$B$35,2,TRUE())*IF(L9=1,係数!$B$28,1)*VLOOKUP(M9,係数!$A$38:$B$41,2,TRUE())*IF(P9=1,係数!$B$29,1)</f>
        <v>1.375</v>
      </c>
      <c r="W9" s="27" t="n">
        <f aca="false">INDEX(係数!$B$10:$B$12,MATCH(R9,係数!$A$10:$A$12,0))*(1-AN9)</f>
        <v>3</v>
      </c>
      <c r="X9" s="27" t="n">
        <f aca="false">H9*(係数!$B$5+係数!$B$4*V9*(S9/60+係数!$B$6+Q9*係数!$B$7))+N9*係数!$B$13*係数!$B$4*V9*(S9/60+係数!$B$6+Q9*係数!$B$7)</f>
        <v>7.5</v>
      </c>
      <c r="Y9" s="27" t="n">
        <f aca="false">MAX(H9-1,0)*係数!$B$8+O9*係数!$B$9</f>
        <v>4</v>
      </c>
      <c r="Z9" s="28" t="n">
        <f aca="false">ROUND((W9+X9+Y9)*AI9,0)</f>
        <v>15</v>
      </c>
      <c r="AA9" s="27" t="n">
        <f aca="false">INDEX(係数!$C$10:$C$12,MATCH(R9,係数!$A$10:$A$12,0))*(1-AN9)</f>
        <v>5</v>
      </c>
      <c r="AB9" s="27" t="n">
        <f aca="false">H9*(係数!$C$5+係数!$C$4*V9*(S9/60+係数!$C$6+Q9*係数!$C$7))+N9*係数!$C$13*係数!$C$4*V9*(S9/60+係数!$C$6+Q9*係数!$C$7)</f>
        <v>13.725</v>
      </c>
      <c r="AC9" s="27" t="n">
        <f aca="false">MAX(H9-1,0)*係数!$C$8+O9*係数!$C$9</f>
        <v>6</v>
      </c>
      <c r="AD9" s="28" t="n">
        <f aca="false">ROUND((AA9+AB9+AC9)*AI9,0)</f>
        <v>25</v>
      </c>
      <c r="AE9" s="27" t="n">
        <f aca="false">INDEX(係数!$D$10:$D$12,MATCH(R9,係数!$A$10:$A$12,0))*(1-AN9)</f>
        <v>8</v>
      </c>
      <c r="AF9" s="27" t="n">
        <f aca="false">H9*(係数!$D$5+係数!$D$4*V9*(S9/60+係数!$D$6+Q9*係数!$D$7))+N9*係数!$D$13*係数!$D$4*V9*(S9/60+係数!$D$6+Q9*係数!$D$7)</f>
        <v>20.3625</v>
      </c>
      <c r="AG9" s="27" t="n">
        <f aca="false">MAX(H9-1,0)*係数!$D$8+O9*係数!$D$9</f>
        <v>8</v>
      </c>
      <c r="AH9" s="28" t="n">
        <f aca="false">ROUND((AE9+AF9+AG9)*AI9,0)</f>
        <v>36</v>
      </c>
      <c r="AI9" s="29" t="n">
        <v>1</v>
      </c>
      <c r="AJ9" s="8" t="str">
        <f aca="false">IF(G9&gt;=AH9,"余裕あり",IF(G9&gt;=AD9,"適正",IF(G9&gt;=Z9,"ギリギリ","不足")))</f>
        <v>適正</v>
      </c>
      <c r="AK9" s="12" t="n">
        <f aca="false">G9-AD9</f>
        <v>5</v>
      </c>
      <c r="AL9" s="30" t="n">
        <v>0.5</v>
      </c>
      <c r="AM9" s="30" t="n">
        <v>0.520833333333333</v>
      </c>
      <c r="AN9" s="13" t="n">
        <v>0</v>
      </c>
      <c r="AO9" s="12" t="n">
        <f aca="false">H9</f>
        <v>2</v>
      </c>
      <c r="AP9" s="28" t="n">
        <f aca="false">AD9</f>
        <v>25</v>
      </c>
      <c r="AQ9" s="27" t="n">
        <f aca="false">AH9</f>
        <v>36</v>
      </c>
      <c r="AR9" s="8" t="s">
        <v>269</v>
      </c>
    </row>
    <row r="10" customFormat="false" ht="15" hidden="false" customHeight="false" outlineLevel="0" collapsed="false">
      <c r="A10" s="16" t="s">
        <v>294</v>
      </c>
      <c r="B10" s="22" t="n">
        <v>46327</v>
      </c>
      <c r="C10" s="16" t="s">
        <v>285</v>
      </c>
      <c r="D10" s="23" t="s">
        <v>295</v>
      </c>
      <c r="E10" s="23" t="s">
        <v>272</v>
      </c>
      <c r="F10" s="16" t="s">
        <v>296</v>
      </c>
      <c r="G10" s="11" t="n">
        <v>25</v>
      </c>
      <c r="H10" s="11" t="n">
        <v>2</v>
      </c>
      <c r="I10" s="13" t="n">
        <v>0</v>
      </c>
      <c r="J10" s="13" t="n">
        <v>0</v>
      </c>
      <c r="K10" s="13" t="n">
        <v>0</v>
      </c>
      <c r="L10" s="13" t="n">
        <v>0</v>
      </c>
      <c r="M10" s="24" t="n">
        <f aca="false">係数!$B$25</f>
        <v>12</v>
      </c>
      <c r="N10" s="13" t="n">
        <v>0</v>
      </c>
      <c r="O10" s="13" t="n">
        <v>0</v>
      </c>
      <c r="P10" s="13" t="n">
        <v>0</v>
      </c>
      <c r="Q10" s="13" t="n">
        <v>0</v>
      </c>
      <c r="R10" s="25" t="s">
        <v>51</v>
      </c>
      <c r="S10" s="9" t="n">
        <v>15</v>
      </c>
      <c r="T10" s="23" t="s">
        <v>297</v>
      </c>
      <c r="U10" s="23" t="s">
        <v>298</v>
      </c>
      <c r="V10" s="26" t="n">
        <f aca="false">VLOOKUP(MIN(J10,3),係数!$A$32:$B$35,2,TRUE())*IF(L10=1,係数!$B$28,1)*VLOOKUP(M10,係数!$A$38:$B$41,2,TRUE())*IF(P10=1,係数!$B$29,1)</f>
        <v>1.25</v>
      </c>
      <c r="W10" s="27" t="n">
        <f aca="false">INDEX(係数!$B$10:$B$12,MATCH(R10,係数!$A$10:$A$12,0))*(1-AN10)</f>
        <v>3</v>
      </c>
      <c r="X10" s="27" t="n">
        <f aca="false">H10*(係数!$B$5+係数!$B$4*V10*(S10/60+係数!$B$6+Q10*係数!$B$7))+N10*係数!$B$13*係数!$B$4*V10*(S10/60+係数!$B$6+Q10*係数!$B$7)</f>
        <v>5.75</v>
      </c>
      <c r="Y10" s="27" t="n">
        <f aca="false">MAX(H10-1,0)*係数!$B$8+O10*係数!$B$9</f>
        <v>4</v>
      </c>
      <c r="Z10" s="28" t="n">
        <f aca="false">ROUND((W10+X10+Y10)*AI10,0)</f>
        <v>13</v>
      </c>
      <c r="AA10" s="27" t="n">
        <f aca="false">INDEX(係数!$C$10:$C$12,MATCH(R10,係数!$A$10:$A$12,0))*(1-AN10)</f>
        <v>5</v>
      </c>
      <c r="AB10" s="27" t="n">
        <f aca="false">H10*(係数!$C$5+係数!$C$4*V10*(S10/60+係数!$C$6+Q10*係数!$C$7))+N10*係数!$C$13*係数!$C$4*V10*(S10/60+係数!$C$6+Q10*係数!$C$7)</f>
        <v>10.875</v>
      </c>
      <c r="AC10" s="27" t="n">
        <f aca="false">MAX(H10-1,0)*係数!$C$8+O10*係数!$C$9</f>
        <v>6</v>
      </c>
      <c r="AD10" s="28" t="n">
        <f aca="false">ROUND((AA10+AB10+AC10)*AI10,0)</f>
        <v>22</v>
      </c>
      <c r="AE10" s="27" t="n">
        <f aca="false">INDEX(係数!$D$10:$D$12,MATCH(R10,係数!$A$10:$A$12,0))*(1-AN10)</f>
        <v>8</v>
      </c>
      <c r="AF10" s="27" t="n">
        <f aca="false">H10*(係数!$D$5+係数!$D$4*V10*(S10/60+係数!$D$6+Q10*係数!$D$7))+N10*係数!$D$13*係数!$D$4*V10*(S10/60+係数!$D$6+Q10*係数!$D$7)</f>
        <v>16.6875</v>
      </c>
      <c r="AG10" s="27" t="n">
        <f aca="false">MAX(H10-1,0)*係数!$D$8+O10*係数!$D$9</f>
        <v>8</v>
      </c>
      <c r="AH10" s="28" t="n">
        <f aca="false">ROUND((AE10+AF10+AG10)*AI10,0)</f>
        <v>33</v>
      </c>
      <c r="AI10" s="29" t="n">
        <v>1</v>
      </c>
      <c r="AJ10" s="8" t="str">
        <f aca="false">IF(G10&gt;=AH10,"余裕あり",IF(G10&gt;=AD10,"適正",IF(G10&gt;=Z10,"ギリギリ","不足")))</f>
        <v>適正</v>
      </c>
      <c r="AK10" s="12" t="n">
        <f aca="false">G10-AD10</f>
        <v>3</v>
      </c>
      <c r="AL10" s="30" t="n">
        <v>0.5625</v>
      </c>
      <c r="AM10" s="30" t="n">
        <v>0.579861111111111</v>
      </c>
      <c r="AN10" s="13" t="n">
        <v>0</v>
      </c>
      <c r="AO10" s="12" t="n">
        <f aca="false">H10</f>
        <v>2</v>
      </c>
      <c r="AP10" s="28" t="n">
        <f aca="false">AD10</f>
        <v>22</v>
      </c>
      <c r="AQ10" s="27" t="n">
        <f aca="false">AH10</f>
        <v>33</v>
      </c>
      <c r="AR10" s="8" t="s">
        <v>269</v>
      </c>
    </row>
    <row r="11" customFormat="false" ht="15" hidden="false" customHeight="false" outlineLevel="0" collapsed="false">
      <c r="A11" s="16" t="s">
        <v>299</v>
      </c>
      <c r="B11" s="22" t="n">
        <v>46327</v>
      </c>
      <c r="C11" s="16" t="s">
        <v>285</v>
      </c>
      <c r="D11" s="23" t="s">
        <v>300</v>
      </c>
      <c r="E11" s="23" t="s">
        <v>272</v>
      </c>
      <c r="F11" s="16" t="s">
        <v>301</v>
      </c>
      <c r="G11" s="11" t="n">
        <v>20</v>
      </c>
      <c r="H11" s="11" t="n">
        <v>1</v>
      </c>
      <c r="I11" s="13" t="n">
        <v>2</v>
      </c>
      <c r="J11" s="13" t="n">
        <v>0</v>
      </c>
      <c r="K11" s="13" t="n">
        <v>1</v>
      </c>
      <c r="L11" s="13" t="n">
        <v>0</v>
      </c>
      <c r="M11" s="24" t="n">
        <f aca="false">係数!$B$25</f>
        <v>12</v>
      </c>
      <c r="N11" s="13" t="n">
        <v>1</v>
      </c>
      <c r="O11" s="13" t="n">
        <v>0</v>
      </c>
      <c r="P11" s="13" t="n">
        <v>0</v>
      </c>
      <c r="Q11" s="13" t="n">
        <v>1</v>
      </c>
      <c r="R11" s="25" t="s">
        <v>47</v>
      </c>
      <c r="S11" s="9" t="n">
        <v>20</v>
      </c>
      <c r="T11" s="23" t="s">
        <v>302</v>
      </c>
      <c r="U11" s="23" t="s">
        <v>303</v>
      </c>
      <c r="V11" s="26" t="n">
        <f aca="false">VLOOKUP(MIN(J11,3),係数!$A$32:$B$35,2,TRUE())*IF(L11=1,係数!$B$28,1)*VLOOKUP(M11,係数!$A$38:$B$41,2,TRUE())*IF(P11=1,係数!$B$29,1)</f>
        <v>1.25</v>
      </c>
      <c r="W11" s="27" t="n">
        <f aca="false">INDEX(係数!$B$10:$B$12,MATCH(R11,係数!$A$10:$A$12,0))*(1-AN11)</f>
        <v>12</v>
      </c>
      <c r="X11" s="27" t="n">
        <f aca="false">H11*(係数!$B$5+係数!$B$4*V11*(S11/60+係数!$B$6+Q11*係数!$B$7))+N11*係数!$B$13*係数!$B$4*V11*(S11/60+係数!$B$6+Q11*係数!$B$7)</f>
        <v>9.75</v>
      </c>
      <c r="Y11" s="27" t="n">
        <f aca="false">MAX(H11-1,0)*係数!$B$8+O11*係数!$B$9</f>
        <v>0</v>
      </c>
      <c r="Z11" s="28" t="n">
        <f aca="false">ROUND((W11+X11+Y11)*AI11,0)</f>
        <v>22</v>
      </c>
      <c r="AA11" s="27" t="n">
        <f aca="false">INDEX(係数!$C$10:$C$12,MATCH(R11,係数!$A$10:$A$12,0))*(1-AN11)</f>
        <v>20</v>
      </c>
      <c r="AB11" s="27" t="n">
        <f aca="false">H11*(係数!$C$5+係数!$C$4*V11*(S11/60+係数!$C$6+Q11*係数!$C$7))+N11*係数!$C$13*係数!$C$4*V11*(S11/60+係数!$C$6+Q11*係数!$C$7)</f>
        <v>21.9375</v>
      </c>
      <c r="AC11" s="27" t="n">
        <f aca="false">MAX(H11-1,0)*係数!$C$8+O11*係数!$C$9</f>
        <v>0</v>
      </c>
      <c r="AD11" s="28" t="n">
        <f aca="false">ROUND((AA11+AB11+AC11)*AI11,0)</f>
        <v>42</v>
      </c>
      <c r="AE11" s="27" t="n">
        <f aca="false">INDEX(係数!$D$10:$D$12,MATCH(R11,係数!$A$10:$A$12,0))*(1-AN11)</f>
        <v>30</v>
      </c>
      <c r="AF11" s="27" t="n">
        <f aca="false">H11*(係数!$D$5+係数!$D$4*V11*(S11/60+係数!$D$6+Q11*係数!$D$7))+N11*係数!$D$13*係数!$D$4*V11*(S11/60+係数!$D$6+Q11*係数!$D$7)</f>
        <v>38.3125</v>
      </c>
      <c r="AG11" s="27" t="n">
        <f aca="false">MAX(H11-1,0)*係数!$D$8+O11*係数!$D$9</f>
        <v>0</v>
      </c>
      <c r="AH11" s="28" t="n">
        <f aca="false">ROUND((AE11+AF11+AG11)*AI11,0)</f>
        <v>68</v>
      </c>
      <c r="AI11" s="29" t="n">
        <v>1</v>
      </c>
      <c r="AJ11" s="8" t="str">
        <f aca="false">IF(G11&gt;=AH11,"余裕あり",IF(G11&gt;=AD11,"適正",IF(G11&gt;=Z11,"ギリギリ","不足")))</f>
        <v>不足</v>
      </c>
      <c r="AK11" s="12" t="n">
        <f aca="false">G11-AD11</f>
        <v>-22</v>
      </c>
      <c r="AL11" s="30" t="n">
        <v>0.579861111111111</v>
      </c>
      <c r="AM11" s="30" t="n">
        <v>0.59375</v>
      </c>
      <c r="AN11" s="13" t="n">
        <v>0</v>
      </c>
      <c r="AO11" s="12" t="n">
        <f aca="false">H11</f>
        <v>1</v>
      </c>
      <c r="AP11" s="28" t="n">
        <f aca="false">AD11</f>
        <v>42</v>
      </c>
      <c r="AQ11" s="27" t="n">
        <f aca="false">AH11</f>
        <v>68</v>
      </c>
      <c r="AR11" s="8" t="s">
        <v>269</v>
      </c>
    </row>
    <row r="12" customFormat="false" ht="15" hidden="false" customHeight="false" outlineLevel="0" collapsed="false">
      <c r="A12" s="16" t="s">
        <v>304</v>
      </c>
      <c r="B12" s="22" t="n">
        <v>46327</v>
      </c>
      <c r="C12" s="16" t="s">
        <v>285</v>
      </c>
      <c r="D12" s="23" t="s">
        <v>305</v>
      </c>
      <c r="E12" s="23" t="s">
        <v>272</v>
      </c>
      <c r="F12" s="23" t="s">
        <v>306</v>
      </c>
      <c r="G12" s="11" t="n">
        <v>30</v>
      </c>
      <c r="H12" s="11" t="n">
        <v>2</v>
      </c>
      <c r="I12" s="13" t="n">
        <v>2</v>
      </c>
      <c r="J12" s="13" t="n">
        <v>1</v>
      </c>
      <c r="K12" s="13" t="n">
        <v>1</v>
      </c>
      <c r="L12" s="13" t="n">
        <v>0</v>
      </c>
      <c r="M12" s="13" t="n">
        <v>3</v>
      </c>
      <c r="N12" s="13" t="n">
        <v>1</v>
      </c>
      <c r="O12" s="13" t="n">
        <v>0</v>
      </c>
      <c r="P12" s="13" t="n">
        <v>0</v>
      </c>
      <c r="Q12" s="13" t="n">
        <v>0</v>
      </c>
      <c r="R12" s="25" t="s">
        <v>51</v>
      </c>
      <c r="S12" s="9" t="n">
        <v>30</v>
      </c>
      <c r="T12" s="23" t="s">
        <v>307</v>
      </c>
      <c r="U12" s="23" t="s">
        <v>308</v>
      </c>
      <c r="V12" s="26" t="n">
        <f aca="false">VLOOKUP(MIN(J12,3),係数!$A$32:$B$35,2,TRUE())*IF(L12=1,係数!$B$28,1)*VLOOKUP(M12,係数!$A$38:$B$41,2,TRUE())*IF(P12=1,係数!$B$29,1)</f>
        <v>1.21</v>
      </c>
      <c r="W12" s="27" t="n">
        <f aca="false">INDEX(係数!$B$10:$B$12,MATCH(R12,係数!$A$10:$A$12,0))*(1-AN12)</f>
        <v>3</v>
      </c>
      <c r="X12" s="27" t="n">
        <f aca="false">H12*(係数!$B$5+係数!$B$4*V12*(S12/60+係数!$B$6+Q12*係数!$B$7))+N12*係数!$B$13*係数!$B$4*V12*(S12/60+係数!$B$6+Q12*係数!$B$7)</f>
        <v>8.05</v>
      </c>
      <c r="Y12" s="27" t="n">
        <f aca="false">MAX(H12-1,0)*係数!$B$8+O12*係数!$B$9</f>
        <v>4</v>
      </c>
      <c r="Z12" s="28" t="n">
        <f aca="false">ROUND((W12+X12+Y12)*AI12,0)</f>
        <v>15</v>
      </c>
      <c r="AA12" s="27" t="n">
        <f aca="false">INDEX(係数!$C$10:$C$12,MATCH(R12,係数!$A$10:$A$12,0))*(1-AN12)</f>
        <v>5</v>
      </c>
      <c r="AB12" s="27" t="n">
        <f aca="false">H12*(係数!$C$5+係数!$C$4*V12*(S12/60+係数!$C$6+Q12*係数!$C$7))+N12*係数!$C$13*係数!$C$4*V12*(S12/60+係数!$C$6+Q12*係数!$C$7)</f>
        <v>14.7975</v>
      </c>
      <c r="AC12" s="27" t="n">
        <f aca="false">MAX(H12-1,0)*係数!$C$8+O12*係数!$C$9</f>
        <v>6</v>
      </c>
      <c r="AD12" s="28" t="n">
        <f aca="false">ROUND((AA12+AB12+AC12)*AI12,0)</f>
        <v>26</v>
      </c>
      <c r="AE12" s="27" t="n">
        <f aca="false">INDEX(係数!$D$10:$D$12,MATCH(R12,係数!$A$10:$A$12,0))*(1-AN12)</f>
        <v>8</v>
      </c>
      <c r="AF12" s="27" t="n">
        <f aca="false">H12*(係数!$D$5+係数!$D$4*V12*(S12/60+係数!$D$6+Q12*係数!$D$7))+N12*係数!$D$13*係数!$D$4*V12*(S12/60+係数!$D$6+Q12*係数!$D$7)</f>
        <v>21.99875</v>
      </c>
      <c r="AG12" s="27" t="n">
        <f aca="false">MAX(H12-1,0)*係数!$D$8+O12*係数!$D$9</f>
        <v>8</v>
      </c>
      <c r="AH12" s="28" t="n">
        <f aca="false">ROUND((AE12+AF12+AG12)*AI12,0)</f>
        <v>38</v>
      </c>
      <c r="AI12" s="29" t="n">
        <v>1</v>
      </c>
      <c r="AJ12" s="8" t="str">
        <f aca="false">IF(G12&gt;=AH12,"余裕あり",IF(G12&gt;=AD12,"適正",IF(G12&gt;=Z12,"ギリギリ","不足")))</f>
        <v>適正</v>
      </c>
      <c r="AK12" s="12" t="n">
        <f aca="false">G12-AD12</f>
        <v>4</v>
      </c>
      <c r="AL12" s="30" t="n">
        <v>0.59375</v>
      </c>
      <c r="AM12" s="30" t="n">
        <v>0.614583333333333</v>
      </c>
      <c r="AN12" s="13" t="n">
        <v>0</v>
      </c>
      <c r="AO12" s="12" t="n">
        <f aca="false">H12</f>
        <v>2</v>
      </c>
      <c r="AP12" s="28" t="n">
        <f aca="false">AD12</f>
        <v>26</v>
      </c>
      <c r="AQ12" s="27" t="n">
        <f aca="false">AH12</f>
        <v>38</v>
      </c>
      <c r="AR12" s="8" t="s">
        <v>284</v>
      </c>
    </row>
    <row r="13" customFormat="false" ht="15" hidden="false" customHeight="false" outlineLevel="0" collapsed="false">
      <c r="A13" s="16" t="s">
        <v>105</v>
      </c>
      <c r="B13" s="22" t="n">
        <v>46327</v>
      </c>
      <c r="C13" s="16" t="s">
        <v>309</v>
      </c>
      <c r="D13" s="23" t="s">
        <v>310</v>
      </c>
      <c r="E13" s="23" t="s">
        <v>272</v>
      </c>
      <c r="F13" s="23" t="s">
        <v>311</v>
      </c>
      <c r="G13" s="11" t="n">
        <v>75</v>
      </c>
      <c r="H13" s="11" t="n">
        <v>5</v>
      </c>
      <c r="I13" s="13" t="n">
        <v>8</v>
      </c>
      <c r="J13" s="13" t="n">
        <v>2</v>
      </c>
      <c r="K13" s="13" t="n">
        <v>1</v>
      </c>
      <c r="L13" s="13" t="n">
        <v>0</v>
      </c>
      <c r="M13" s="24" t="n">
        <f aca="false">係数!$B$25</f>
        <v>12</v>
      </c>
      <c r="N13" s="13" t="n">
        <v>2</v>
      </c>
      <c r="O13" s="13" t="n">
        <v>0</v>
      </c>
      <c r="P13" s="13" t="n">
        <v>0</v>
      </c>
      <c r="Q13" s="13" t="n">
        <v>0</v>
      </c>
      <c r="R13" s="25" t="s">
        <v>51</v>
      </c>
      <c r="S13" s="9" t="n">
        <v>25</v>
      </c>
      <c r="T13" s="23" t="s">
        <v>312</v>
      </c>
      <c r="U13" s="16" t="s">
        <v>313</v>
      </c>
      <c r="V13" s="26" t="n">
        <f aca="false">VLOOKUP(MIN(J13,3),係数!$A$32:$B$35,2,TRUE())*IF(L13=1,係数!$B$28,1)*VLOOKUP(M13,係数!$A$38:$B$41,2,TRUE())*IF(P13=1,係数!$B$29,1)</f>
        <v>1.5</v>
      </c>
      <c r="W13" s="27" t="n">
        <f aca="false">INDEX(係数!$B$10:$B$12,MATCH(R13,係数!$A$10:$A$12,0))*(1-AN13)</f>
        <v>3</v>
      </c>
      <c r="X13" s="27" t="n">
        <f aca="false">H13*(係数!$B$5+係数!$B$4*V13*(S13/60+係数!$B$6+Q13*係数!$B$7))+N13*係数!$B$13*係数!$B$4*V13*(S13/60+係数!$B$6+Q13*係数!$B$7)</f>
        <v>21.5</v>
      </c>
      <c r="Y13" s="27" t="n">
        <f aca="false">MAX(H13-1,0)*係数!$B$8+O13*係数!$B$9</f>
        <v>16</v>
      </c>
      <c r="Z13" s="28" t="n">
        <f aca="false">ROUND((W13+X13+Y13)*AI13,0)</f>
        <v>41</v>
      </c>
      <c r="AA13" s="27" t="n">
        <f aca="false">INDEX(係数!$C$10:$C$12,MATCH(R13,係数!$A$10:$A$12,0))*(1-AN13)</f>
        <v>5</v>
      </c>
      <c r="AB13" s="27" t="n">
        <f aca="false">H13*(係数!$C$5+係数!$C$4*V13*(S13/60+係数!$C$6+Q13*係数!$C$7))+N13*係数!$C$13*係数!$C$4*V13*(S13/60+係数!$C$6+Q13*係数!$C$7)</f>
        <v>40.35</v>
      </c>
      <c r="AC13" s="27" t="n">
        <f aca="false">MAX(H13-1,0)*係数!$C$8+O13*係数!$C$9</f>
        <v>24</v>
      </c>
      <c r="AD13" s="28" t="n">
        <f aca="false">ROUND((AA13+AB13+AC13)*AI13,0)</f>
        <v>69</v>
      </c>
      <c r="AE13" s="27" t="n">
        <f aca="false">INDEX(係数!$D$10:$D$12,MATCH(R13,係数!$A$10:$A$12,0))*(1-AN13)</f>
        <v>8</v>
      </c>
      <c r="AF13" s="27" t="n">
        <f aca="false">H13*(係数!$D$5+係数!$D$4*V13*(S13/60+係数!$D$6+Q13*係数!$D$7))+N13*係数!$D$13*係数!$D$4*V13*(S13/60+係数!$D$6+Q13*係数!$D$7)</f>
        <v>60.925</v>
      </c>
      <c r="AG13" s="27" t="n">
        <f aca="false">MAX(H13-1,0)*係数!$D$8+O13*係数!$D$9</f>
        <v>32</v>
      </c>
      <c r="AH13" s="28" t="n">
        <f aca="false">ROUND((AE13+AF13+AG13)*AI13,0)</f>
        <v>101</v>
      </c>
      <c r="AI13" s="29" t="n">
        <v>1</v>
      </c>
      <c r="AJ13" s="8" t="str">
        <f aca="false">IF(G13&gt;=AH13,"余裕あり",IF(G13&gt;=AD13,"適正",IF(G13&gt;=Z13,"ギリギリ","不足")))</f>
        <v>適正</v>
      </c>
      <c r="AK13" s="12" t="n">
        <f aca="false">G13-AD13</f>
        <v>6</v>
      </c>
      <c r="AL13" s="30" t="n">
        <v>0.635416666666667</v>
      </c>
      <c r="AM13" s="30" t="n">
        <v>0.6875</v>
      </c>
      <c r="AN13" s="13" t="n">
        <v>0</v>
      </c>
      <c r="AO13" s="12" t="n">
        <f aca="false">COUNTIFS(構図優先度!$A$12:$A$70,A13,構図優先度!$J$12:$J$70,1,構図優先度!$I$12:$I$70,0,構図優先度!$B$12:$B$70,"&lt;&gt;末尾")</f>
        <v>4</v>
      </c>
      <c r="AP13" s="10" t="n">
        <f aca="false">ROUND((AA13+SUMIFS(構図優先度!$K$12:$K$70,構図優先度!$A$12:$A$70,A13,構図優先度!$J$12:$J$70,1,構図優先度!$I$12:$I$70,0)-IF(AO13&gt;0,係数!$C$8,0))*AI13,0)</f>
        <v>55</v>
      </c>
      <c r="AQ13" s="12" t="n">
        <f aca="false">ROUND((AE13+SUMIFS(構図優先度!$L$12:$L$70,構図優先度!$A$12:$A$70,A13,構図優先度!$J$12:$J$70,1,構図優先度!$I$12:$I$70,0)-IF(AO13&gt;0,係数!$D$8,0))*AI13,0)</f>
        <v>80</v>
      </c>
      <c r="AR13" s="8" t="s">
        <v>269</v>
      </c>
    </row>
    <row r="14" customFormat="false" ht="15" hidden="false" customHeight="false" outlineLevel="0" collapsed="false">
      <c r="A14" s="16" t="s">
        <v>104</v>
      </c>
      <c r="B14" s="22" t="n">
        <v>46329</v>
      </c>
      <c r="C14" s="16" t="s">
        <v>314</v>
      </c>
      <c r="D14" s="23" t="s">
        <v>315</v>
      </c>
      <c r="E14" s="23" t="s">
        <v>272</v>
      </c>
      <c r="F14" s="23" t="s">
        <v>316</v>
      </c>
      <c r="G14" s="11" t="n">
        <v>120</v>
      </c>
      <c r="H14" s="11" t="n">
        <v>12</v>
      </c>
      <c r="I14" s="13" t="n">
        <v>17</v>
      </c>
      <c r="J14" s="13" t="n">
        <v>3</v>
      </c>
      <c r="K14" s="13" t="n">
        <v>1</v>
      </c>
      <c r="L14" s="13" t="n">
        <v>0</v>
      </c>
      <c r="M14" s="13" t="n">
        <v>0</v>
      </c>
      <c r="N14" s="13" t="n">
        <v>3</v>
      </c>
      <c r="O14" s="13" t="n">
        <v>12</v>
      </c>
      <c r="P14" s="13" t="n">
        <v>1</v>
      </c>
      <c r="Q14" s="13" t="n">
        <v>0</v>
      </c>
      <c r="R14" s="25" t="s">
        <v>47</v>
      </c>
      <c r="S14" s="9" t="n">
        <v>25</v>
      </c>
      <c r="T14" s="23" t="s">
        <v>317</v>
      </c>
      <c r="U14" s="23" t="s">
        <v>318</v>
      </c>
      <c r="V14" s="26" t="n">
        <f aca="false">VLOOKUP(MIN(J14,3),係数!$A$32:$B$35,2,TRUE())*IF(L14=1,係数!$B$28,1)*VLOOKUP(M14,係数!$A$38:$B$41,2,TRUE())*IF(P14=1,係数!$B$29,1)</f>
        <v>1.69</v>
      </c>
      <c r="W14" s="27" t="n">
        <f aca="false">INDEX(係数!$B$10:$B$12,MATCH(R14,係数!$A$10:$A$12,0))*(1-AN14)</f>
        <v>12</v>
      </c>
      <c r="X14" s="27" t="n">
        <f aca="false">H14*(係数!$B$5+係数!$B$4*V14*(S14/60+係数!$B$6+Q14*係数!$B$7))+N14*係数!$B$13*係数!$B$4*V14*(S14/60+係数!$B$6+Q14*係数!$B$7)</f>
        <v>53.8275</v>
      </c>
      <c r="Y14" s="27" t="n">
        <f aca="false">MAX(H14-1,0)*係数!$B$8+O14*係数!$B$9</f>
        <v>68</v>
      </c>
      <c r="Z14" s="28" t="n">
        <f aca="false">ROUND((W14+X14+Y14)*AI14,0)</f>
        <v>134</v>
      </c>
      <c r="AA14" s="27" t="n">
        <f aca="false">INDEX(係数!$C$10:$C$12,MATCH(R14,係数!$A$10:$A$12,0))*(1-AN14)</f>
        <v>20</v>
      </c>
      <c r="AB14" s="27" t="n">
        <f aca="false">H14*(係数!$C$5+係数!$C$4*V14*(S14/60+係数!$C$6+Q14*係数!$C$7))+N14*係数!$C$13*係数!$C$4*V14*(S14/60+係数!$C$6+Q14*係数!$C$7)</f>
        <v>101.27475</v>
      </c>
      <c r="AC14" s="27" t="n">
        <f aca="false">MAX(H14-1,0)*係数!$C$8+O14*係数!$C$9</f>
        <v>114</v>
      </c>
      <c r="AD14" s="28" t="n">
        <f aca="false">ROUND((AA14+AB14+AC14)*AI14,0)</f>
        <v>235</v>
      </c>
      <c r="AE14" s="27" t="n">
        <f aca="false">INDEX(係数!$D$10:$D$12,MATCH(R14,係数!$A$10:$A$12,0))*(1-AN14)</f>
        <v>30</v>
      </c>
      <c r="AF14" s="27" t="n">
        <f aca="false">H14*(係数!$D$5+係数!$D$4*V14*(S14/60+係数!$D$6+Q14*係数!$D$7))+N14*係数!$D$13*係数!$D$4*V14*(S14/60+係数!$D$6+Q14*係数!$D$7)</f>
        <v>153.094875</v>
      </c>
      <c r="AG14" s="27" t="n">
        <f aca="false">MAX(H14-1,0)*係数!$D$8+O14*係数!$D$9</f>
        <v>160</v>
      </c>
      <c r="AH14" s="28" t="n">
        <f aca="false">ROUND((AE14+AF14+AG14)*AI14,0)</f>
        <v>343</v>
      </c>
      <c r="AI14" s="29" t="n">
        <v>1</v>
      </c>
      <c r="AJ14" s="8" t="str">
        <f aca="false">IF(G14&gt;=AH14,"余裕あり",IF(G14&gt;=AD14,"適正",IF(G14&gt;=Z14,"ギリギリ","不足")))</f>
        <v>不足</v>
      </c>
      <c r="AK14" s="12" t="n">
        <f aca="false">G14-AD14</f>
        <v>-115</v>
      </c>
      <c r="AL14" s="30" t="n">
        <v>0.333333333333333</v>
      </c>
      <c r="AM14" s="30" t="n">
        <v>0.416666666666667</v>
      </c>
      <c r="AN14" s="13" t="n">
        <v>0</v>
      </c>
      <c r="AO14" s="12" t="n">
        <f aca="false">COUNTIFS(構図優先度!$A$12:$A$70,A14,構図優先度!$J$12:$J$70,1,構図優先度!$I$12:$I$70,0,構図優先度!$B$12:$B$70,"&lt;&gt;末尾")</f>
        <v>8</v>
      </c>
      <c r="AP14" s="10" t="n">
        <f aca="false">ROUND((AA14+SUMIFS(構図優先度!$K$12:$K$70,構図優先度!$A$12:$A$70,A14,構図優先度!$J$12:$J$70,1,構図優先度!$I$12:$I$70,0)-IF(AO14&gt;0,係数!$C$8,0))*AI14,0)</f>
        <v>158</v>
      </c>
      <c r="AQ14" s="12" t="n">
        <f aca="false">ROUND((AE14+SUMIFS(構図優先度!$L$12:$L$70,構図優先度!$A$12:$A$70,A14,構図優先度!$J$12:$J$70,1,構図優先度!$I$12:$I$70,0)-IF(AO14&gt;0,係数!$D$8,0))*AI14,0)</f>
        <v>232</v>
      </c>
      <c r="AR14" s="8" t="s">
        <v>284</v>
      </c>
    </row>
    <row r="15" customFormat="false" ht="15" hidden="false" customHeight="false" outlineLevel="0" collapsed="false">
      <c r="A15" s="16" t="s">
        <v>319</v>
      </c>
      <c r="B15" s="22" t="n">
        <v>46329</v>
      </c>
      <c r="C15" s="16" t="s">
        <v>314</v>
      </c>
      <c r="D15" s="23" t="s">
        <v>320</v>
      </c>
      <c r="E15" s="23" t="s">
        <v>272</v>
      </c>
      <c r="F15" s="23" t="s">
        <v>316</v>
      </c>
      <c r="G15" s="11" t="n">
        <v>30</v>
      </c>
      <c r="H15" s="11" t="n">
        <v>1</v>
      </c>
      <c r="I15" s="13" t="n">
        <v>3</v>
      </c>
      <c r="J15" s="13" t="n">
        <v>3</v>
      </c>
      <c r="K15" s="13" t="n">
        <v>0</v>
      </c>
      <c r="L15" s="13" t="n">
        <v>0</v>
      </c>
      <c r="M15" s="13" t="n">
        <v>0</v>
      </c>
      <c r="N15" s="13" t="n">
        <v>1</v>
      </c>
      <c r="O15" s="13" t="n">
        <v>1</v>
      </c>
      <c r="P15" s="13" t="n">
        <v>0</v>
      </c>
      <c r="Q15" s="13" t="n">
        <v>0</v>
      </c>
      <c r="R15" s="25" t="s">
        <v>47</v>
      </c>
      <c r="S15" s="9" t="n">
        <v>45</v>
      </c>
      <c r="T15" s="23" t="s">
        <v>321</v>
      </c>
      <c r="U15" s="23" t="s">
        <v>322</v>
      </c>
      <c r="V15" s="26" t="n">
        <f aca="false">VLOOKUP(MIN(J15,3),係数!$A$32:$B$35,2,TRUE())*IF(L15=1,係数!$B$28,1)*VLOOKUP(M15,係数!$A$38:$B$41,2,TRUE())*IF(P15=1,係数!$B$29,1)</f>
        <v>1.3</v>
      </c>
      <c r="W15" s="27" t="n">
        <f aca="false">INDEX(係数!$B$10:$B$12,MATCH(R15,係数!$A$10:$A$12,0))*(1-AN15)</f>
        <v>12</v>
      </c>
      <c r="X15" s="27" t="n">
        <f aca="false">H15*(係数!$B$5+係数!$B$4*V15*(S15/60+係数!$B$6+Q15*係数!$B$7))+N15*係数!$B$13*係数!$B$4*V15*(S15/60+係数!$B$6+Q15*係数!$B$7)</f>
        <v>5.875</v>
      </c>
      <c r="Y15" s="27" t="n">
        <f aca="false">MAX(H15-1,0)*係数!$B$8+O15*係数!$B$9</f>
        <v>2</v>
      </c>
      <c r="Z15" s="28" t="n">
        <f aca="false">ROUND((W15+X15+Y15)*AI15,0)</f>
        <v>20</v>
      </c>
      <c r="AA15" s="27" t="n">
        <f aca="false">INDEX(係数!$C$10:$C$12,MATCH(R15,係数!$A$10:$A$12,0))*(1-AN15)</f>
        <v>20</v>
      </c>
      <c r="AB15" s="27" t="n">
        <f aca="false">H15*(係数!$C$5+係数!$C$4*V15*(S15/60+係数!$C$6+Q15*係数!$C$7))+N15*係数!$C$13*係数!$C$4*V15*(S15/60+係数!$C$6+Q15*係数!$C$7)</f>
        <v>10.5675</v>
      </c>
      <c r="AC15" s="27" t="n">
        <f aca="false">MAX(H15-1,0)*係数!$C$8+O15*係数!$C$9</f>
        <v>4</v>
      </c>
      <c r="AD15" s="28" t="n">
        <f aca="false">ROUND((AA15+AB15+AC15)*AI15,0)</f>
        <v>35</v>
      </c>
      <c r="AE15" s="27" t="n">
        <f aca="false">INDEX(係数!$D$10:$D$12,MATCH(R15,係数!$A$10:$A$12,0))*(1-AN15)</f>
        <v>30</v>
      </c>
      <c r="AF15" s="27" t="n">
        <f aca="false">H15*(係数!$D$5+係数!$D$4*V15*(S15/60+係数!$D$6+Q15*係数!$D$7))+N15*係数!$D$13*係数!$D$4*V15*(S15/60+係数!$D$6+Q15*係数!$D$7)</f>
        <v>15.30875</v>
      </c>
      <c r="AG15" s="27" t="n">
        <f aca="false">MAX(H15-1,0)*係数!$D$8+O15*係数!$D$9</f>
        <v>6</v>
      </c>
      <c r="AH15" s="28" t="n">
        <f aca="false">ROUND((AE15+AF15+AG15)*AI15,0)</f>
        <v>51</v>
      </c>
      <c r="AI15" s="29" t="n">
        <v>1</v>
      </c>
      <c r="AJ15" s="8" t="str">
        <f aca="false">IF(G15&gt;=AH15,"余裕あり",IF(G15&gt;=AD15,"適正",IF(G15&gt;=Z15,"ギリギリ","不足")))</f>
        <v>ギリギリ</v>
      </c>
      <c r="AK15" s="12" t="n">
        <f aca="false">G15-AD15</f>
        <v>-5</v>
      </c>
      <c r="AL15" s="30" t="n">
        <v>0.423611111111111</v>
      </c>
      <c r="AM15" s="30" t="n">
        <v>0.444444444444444</v>
      </c>
      <c r="AN15" s="13" t="n">
        <v>0</v>
      </c>
      <c r="AO15" s="12" t="n">
        <f aca="false">H15</f>
        <v>1</v>
      </c>
      <c r="AP15" s="28" t="n">
        <f aca="false">AD15</f>
        <v>35</v>
      </c>
      <c r="AQ15" s="27" t="n">
        <f aca="false">AH15</f>
        <v>51</v>
      </c>
      <c r="AR15" s="8" t="s">
        <v>284</v>
      </c>
    </row>
    <row r="16" customFormat="false" ht="15" hidden="false" customHeight="false" outlineLevel="0" collapsed="false">
      <c r="A16" s="16" t="s">
        <v>323</v>
      </c>
      <c r="B16" s="22" t="n">
        <v>46329</v>
      </c>
      <c r="C16" s="16" t="s">
        <v>314</v>
      </c>
      <c r="D16" s="23" t="s">
        <v>300</v>
      </c>
      <c r="E16" s="23" t="s">
        <v>272</v>
      </c>
      <c r="F16" s="23" t="s">
        <v>316</v>
      </c>
      <c r="G16" s="11" t="n">
        <v>30</v>
      </c>
      <c r="H16" s="11" t="n">
        <v>1</v>
      </c>
      <c r="I16" s="13" t="n">
        <v>3</v>
      </c>
      <c r="J16" s="13" t="n">
        <v>1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25" t="s">
        <v>51</v>
      </c>
      <c r="S16" s="9" t="n">
        <v>15</v>
      </c>
      <c r="T16" s="23" t="s">
        <v>324</v>
      </c>
      <c r="U16" s="16" t="s">
        <v>325</v>
      </c>
      <c r="V16" s="26" t="n">
        <f aca="false">VLOOKUP(MIN(J16,3),係数!$A$32:$B$35,2,TRUE())*IF(L16=1,係数!$B$28,1)*VLOOKUP(M16,係数!$A$38:$B$41,2,TRUE())*IF(P16=1,係数!$B$29,1)</f>
        <v>1.1</v>
      </c>
      <c r="W16" s="27" t="n">
        <f aca="false">INDEX(係数!$B$10:$B$12,MATCH(R16,係数!$A$10:$A$12,0))*(1-AN16)</f>
        <v>3</v>
      </c>
      <c r="X16" s="27" t="n">
        <f aca="false">H16*(係数!$B$5+係数!$B$4*V16*(S16/60+係数!$B$6+Q16*係数!$B$7))+N16*係数!$B$13*係数!$B$4*V16*(S16/60+係数!$B$6+Q16*係数!$B$7)</f>
        <v>2.65</v>
      </c>
      <c r="Y16" s="27" t="n">
        <f aca="false">MAX(H16-1,0)*係数!$B$8+O16*係数!$B$9</f>
        <v>0</v>
      </c>
      <c r="Z16" s="28" t="n">
        <f aca="false">ROUND((W16+X16+Y16)*AI16,0)</f>
        <v>6</v>
      </c>
      <c r="AA16" s="27" t="n">
        <f aca="false">INDEX(係数!$C$10:$C$12,MATCH(R16,係数!$A$10:$A$12,0))*(1-AN16)</f>
        <v>5</v>
      </c>
      <c r="AB16" s="27" t="n">
        <f aca="false">H16*(係数!$C$5+係数!$C$4*V16*(S16/60+係数!$C$6+Q16*係数!$C$7))+N16*係数!$C$13*係数!$C$4*V16*(S16/60+係数!$C$6+Q16*係数!$C$7)</f>
        <v>4.965</v>
      </c>
      <c r="AC16" s="27" t="n">
        <f aca="false">MAX(H16-1,0)*係数!$C$8+O16*係数!$C$9</f>
        <v>0</v>
      </c>
      <c r="AD16" s="28" t="n">
        <f aca="false">ROUND((AA16+AB16+AC16)*AI16,0)</f>
        <v>10</v>
      </c>
      <c r="AE16" s="27" t="n">
        <f aca="false">INDEX(係数!$D$10:$D$12,MATCH(R16,係数!$A$10:$A$12,0))*(1-AN16)</f>
        <v>8</v>
      </c>
      <c r="AF16" s="27" t="n">
        <f aca="false">H16*(係数!$D$5+係数!$D$4*V16*(S16/60+係数!$D$6+Q16*係数!$D$7))+N16*係数!$D$13*係数!$D$4*V16*(S16/60+係数!$D$6+Q16*係数!$D$7)</f>
        <v>7.5825</v>
      </c>
      <c r="AG16" s="27" t="n">
        <f aca="false">MAX(H16-1,0)*係数!$D$8+O16*係数!$D$9</f>
        <v>0</v>
      </c>
      <c r="AH16" s="28" t="n">
        <f aca="false">ROUND((AE16+AF16+AG16)*AI16,0)</f>
        <v>16</v>
      </c>
      <c r="AI16" s="29" t="n">
        <v>1</v>
      </c>
      <c r="AJ16" s="8" t="str">
        <f aca="false">IF(G16&gt;=AH16,"余裕あり",IF(G16&gt;=AD16,"適正",IF(G16&gt;=Z16,"ギリギリ","不足")))</f>
        <v>余裕あり</v>
      </c>
      <c r="AK16" s="12" t="n">
        <f aca="false">G16-AD16</f>
        <v>20</v>
      </c>
      <c r="AL16" s="30" t="n">
        <v>0.444444444444444</v>
      </c>
      <c r="AM16" s="30" t="n">
        <v>0.465277777777778</v>
      </c>
      <c r="AN16" s="13" t="n">
        <v>0</v>
      </c>
      <c r="AO16" s="12" t="n">
        <f aca="false">H16</f>
        <v>1</v>
      </c>
      <c r="AP16" s="28" t="n">
        <f aca="false">AD16</f>
        <v>10</v>
      </c>
      <c r="AQ16" s="27" t="n">
        <f aca="false">AH16</f>
        <v>16</v>
      </c>
      <c r="AR16" s="8" t="s">
        <v>284</v>
      </c>
    </row>
    <row r="17" customFormat="false" ht="15" hidden="false" customHeight="false" outlineLevel="0" collapsed="false">
      <c r="A17" s="16" t="s">
        <v>326</v>
      </c>
      <c r="B17" s="22" t="n">
        <v>46329</v>
      </c>
      <c r="C17" s="16" t="s">
        <v>314</v>
      </c>
      <c r="D17" s="23" t="s">
        <v>327</v>
      </c>
      <c r="E17" s="23" t="s">
        <v>265</v>
      </c>
      <c r="F17" s="23" t="s">
        <v>277</v>
      </c>
      <c r="G17" s="11" t="n">
        <v>60</v>
      </c>
      <c r="H17" s="11" t="n">
        <v>4</v>
      </c>
      <c r="I17" s="13" t="n">
        <v>10</v>
      </c>
      <c r="J17" s="13" t="n">
        <v>2</v>
      </c>
      <c r="K17" s="13" t="n">
        <v>0</v>
      </c>
      <c r="L17" s="13" t="n">
        <v>0</v>
      </c>
      <c r="M17" s="13" t="n">
        <v>0</v>
      </c>
      <c r="N17" s="13" t="n">
        <v>1</v>
      </c>
      <c r="O17" s="13" t="n">
        <v>4</v>
      </c>
      <c r="P17" s="13" t="n">
        <v>0</v>
      </c>
      <c r="Q17" s="13" t="n">
        <v>0</v>
      </c>
      <c r="R17" s="25" t="s">
        <v>49</v>
      </c>
      <c r="S17" s="9" t="n">
        <v>30</v>
      </c>
      <c r="T17" s="23" t="s">
        <v>328</v>
      </c>
      <c r="U17" s="16" t="s">
        <v>329</v>
      </c>
      <c r="V17" s="26" t="n">
        <f aca="false">VLOOKUP(MIN(J17,3),係数!$A$32:$B$35,2,TRUE())*IF(L17=1,係数!$B$28,1)*VLOOKUP(M17,係数!$A$38:$B$41,2,TRUE())*IF(P17=1,係数!$B$29,1)</f>
        <v>1.2</v>
      </c>
      <c r="W17" s="27" t="n">
        <f aca="false">INDEX(係数!$B$10:$B$12,MATCH(R17,係数!$A$10:$A$12,0))*(1-AN17)</f>
        <v>8</v>
      </c>
      <c r="X17" s="27" t="n">
        <f aca="false">H17*(係数!$B$5+係数!$B$4*V17*(S17/60+係数!$B$6+Q17*係数!$B$7))+N17*係数!$B$13*係数!$B$4*V17*(S17/60+係数!$B$6+Q17*係数!$B$7)</f>
        <v>14.8</v>
      </c>
      <c r="Y17" s="27" t="n">
        <f aca="false">MAX(H17-1,0)*係数!$B$8+O17*係数!$B$9</f>
        <v>20</v>
      </c>
      <c r="Z17" s="28" t="n">
        <f aca="false">ROUND((W17+X17+Y17)*AI17,0)</f>
        <v>43</v>
      </c>
      <c r="AA17" s="27" t="n">
        <f aca="false">INDEX(係数!$C$10:$C$12,MATCH(R17,係数!$A$10:$A$12,0))*(1-AN17)</f>
        <v>12</v>
      </c>
      <c r="AB17" s="27" t="n">
        <f aca="false">H17*(係数!$C$5+係数!$C$4*V17*(S17/60+係数!$C$6+Q17*係数!$C$7))+N17*係数!$C$13*係数!$C$4*V17*(S17/60+係数!$C$6+Q17*係数!$C$7)</f>
        <v>27.06</v>
      </c>
      <c r="AC17" s="27" t="n">
        <f aca="false">MAX(H17-1,0)*係数!$C$8+O17*係数!$C$9</f>
        <v>34</v>
      </c>
      <c r="AD17" s="28" t="n">
        <f aca="false">ROUND((AA17+AB17+AC17)*AI17,0)</f>
        <v>73</v>
      </c>
      <c r="AE17" s="27" t="n">
        <f aca="false">INDEX(係数!$D$10:$D$12,MATCH(R17,係数!$A$10:$A$12,0))*(1-AN17)</f>
        <v>18</v>
      </c>
      <c r="AF17" s="27" t="n">
        <f aca="false">H17*(係数!$D$5+係数!$D$4*V17*(S17/60+係数!$D$6+Q17*係数!$D$7))+N17*係数!$D$13*係数!$D$4*V17*(S17/60+係数!$D$6+Q17*係数!$D$7)</f>
        <v>40.13</v>
      </c>
      <c r="AG17" s="27" t="n">
        <f aca="false">MAX(H17-1,0)*係数!$D$8+O17*係数!$D$9</f>
        <v>48</v>
      </c>
      <c r="AH17" s="28" t="n">
        <f aca="false">ROUND((AE17+AF17+AG17)*AI17,0)</f>
        <v>106</v>
      </c>
      <c r="AI17" s="29" t="n">
        <v>1</v>
      </c>
      <c r="AJ17" s="8" t="str">
        <f aca="false">IF(G17&gt;=AH17,"余裕あり",IF(G17&gt;=AD17,"適正",IF(G17&gt;=Z17,"ギリギリ","不足")))</f>
        <v>ギリギリ</v>
      </c>
      <c r="AK17" s="12" t="n">
        <f aca="false">G17-AD17</f>
        <v>-13</v>
      </c>
      <c r="AL17" s="30" t="n">
        <v>0.5</v>
      </c>
      <c r="AM17" s="30" t="n">
        <v>0.541666666666667</v>
      </c>
      <c r="AN17" s="13" t="n">
        <v>0</v>
      </c>
      <c r="AO17" s="12" t="n">
        <f aca="false">H17</f>
        <v>4</v>
      </c>
      <c r="AP17" s="28" t="n">
        <f aca="false">AD17</f>
        <v>73</v>
      </c>
      <c r="AQ17" s="27" t="n">
        <f aca="false">AH17</f>
        <v>106</v>
      </c>
      <c r="AR17" s="8" t="s">
        <v>284</v>
      </c>
    </row>
    <row r="18" customFormat="false" ht="15" hidden="false" customHeight="false" outlineLevel="0" collapsed="false">
      <c r="A18" s="16" t="s">
        <v>330</v>
      </c>
      <c r="B18" s="22" t="n">
        <v>46329</v>
      </c>
      <c r="C18" s="16" t="s">
        <v>314</v>
      </c>
      <c r="D18" s="23" t="s">
        <v>331</v>
      </c>
      <c r="E18" s="23" t="s">
        <v>272</v>
      </c>
      <c r="F18" s="23" t="s">
        <v>332</v>
      </c>
      <c r="G18" s="11" t="n">
        <v>60</v>
      </c>
      <c r="H18" s="11" t="n">
        <v>6</v>
      </c>
      <c r="I18" s="13" t="n">
        <v>6</v>
      </c>
      <c r="J18" s="13" t="n">
        <v>2</v>
      </c>
      <c r="K18" s="13" t="n">
        <v>0</v>
      </c>
      <c r="L18" s="13" t="n">
        <v>0</v>
      </c>
      <c r="M18" s="13" t="n">
        <v>0</v>
      </c>
      <c r="N18" s="13" t="n">
        <v>2</v>
      </c>
      <c r="O18" s="13" t="n">
        <v>1</v>
      </c>
      <c r="P18" s="13" t="n">
        <v>0</v>
      </c>
      <c r="Q18" s="13" t="n">
        <v>0</v>
      </c>
      <c r="R18" s="25" t="s">
        <v>47</v>
      </c>
      <c r="S18" s="9" t="n">
        <v>25</v>
      </c>
      <c r="T18" s="23" t="s">
        <v>333</v>
      </c>
      <c r="U18" s="16" t="s">
        <v>334</v>
      </c>
      <c r="V18" s="26" t="n">
        <f aca="false">VLOOKUP(MIN(J18,3),係数!$A$32:$B$35,2,TRUE())*IF(L18=1,係数!$B$28,1)*VLOOKUP(M18,係数!$A$38:$B$41,2,TRUE())*IF(P18=1,係数!$B$29,1)</f>
        <v>1.2</v>
      </c>
      <c r="W18" s="27" t="n">
        <f aca="false">INDEX(係数!$B$10:$B$12,MATCH(R18,係数!$A$10:$A$12,0))*(1-AN18)</f>
        <v>12</v>
      </c>
      <c r="X18" s="27" t="n">
        <f aca="false">H18*(係数!$B$5+係数!$B$4*V18*(S18/60+係数!$B$6+Q18*係数!$B$7))+N18*係数!$B$13*係数!$B$4*V18*(S18/60+係数!$B$6+Q18*係数!$B$7)</f>
        <v>21.4</v>
      </c>
      <c r="Y18" s="27" t="n">
        <f aca="false">MAX(H18-1,0)*係数!$B$8+O18*係数!$B$9</f>
        <v>22</v>
      </c>
      <c r="Z18" s="28" t="n">
        <f aca="false">ROUND((W18+X18+Y18)*AI18,0)</f>
        <v>55</v>
      </c>
      <c r="AA18" s="27" t="n">
        <f aca="false">INDEX(係数!$C$10:$C$12,MATCH(R18,係数!$A$10:$A$12,0))*(1-AN18)</f>
        <v>20</v>
      </c>
      <c r="AB18" s="27" t="n">
        <f aca="false">H18*(係数!$C$5+係数!$C$4*V18*(S18/60+係数!$C$6+Q18*係数!$C$7))+N18*係数!$C$13*係数!$C$4*V18*(S18/60+係数!$C$6+Q18*係数!$C$7)</f>
        <v>39.66</v>
      </c>
      <c r="AC18" s="27" t="n">
        <f aca="false">MAX(H18-1,0)*係数!$C$8+O18*係数!$C$9</f>
        <v>34</v>
      </c>
      <c r="AD18" s="28" t="n">
        <f aca="false">ROUND((AA18+AB18+AC18)*AI18,0)</f>
        <v>94</v>
      </c>
      <c r="AE18" s="27" t="n">
        <f aca="false">INDEX(係数!$D$10:$D$12,MATCH(R18,係数!$A$10:$A$12,0))*(1-AN18)</f>
        <v>30</v>
      </c>
      <c r="AF18" s="27" t="n">
        <f aca="false">H18*(係数!$D$5+係数!$D$4*V18*(S18/60+係数!$D$6+Q18*係数!$D$7))+N18*係数!$D$13*係数!$D$4*V18*(S18/60+係数!$D$6+Q18*係数!$D$7)</f>
        <v>59.53</v>
      </c>
      <c r="AG18" s="27" t="n">
        <f aca="false">MAX(H18-1,0)*係数!$D$8+O18*係数!$D$9</f>
        <v>46</v>
      </c>
      <c r="AH18" s="28" t="n">
        <f aca="false">ROUND((AE18+AF18+AG18)*AI18,0)</f>
        <v>136</v>
      </c>
      <c r="AI18" s="29" t="n">
        <v>1</v>
      </c>
      <c r="AJ18" s="8" t="str">
        <f aca="false">IF(G18&gt;=AH18,"余裕あり",IF(G18&gt;=AD18,"適正",IF(G18&gt;=Z18,"ギリギリ","不足")))</f>
        <v>ギリギリ</v>
      </c>
      <c r="AK18" s="12" t="n">
        <f aca="false">G18-AD18</f>
        <v>-34</v>
      </c>
      <c r="AL18" s="30" t="n">
        <v>0.541666666666667</v>
      </c>
      <c r="AM18" s="30" t="n">
        <v>0.583333333333333</v>
      </c>
      <c r="AN18" s="13" t="n">
        <v>0</v>
      </c>
      <c r="AO18" s="12" t="n">
        <f aca="false">H18</f>
        <v>6</v>
      </c>
      <c r="AP18" s="28" t="n">
        <f aca="false">AD18</f>
        <v>94</v>
      </c>
      <c r="AQ18" s="27" t="n">
        <f aca="false">AH18</f>
        <v>136</v>
      </c>
      <c r="AR18" s="8" t="s">
        <v>284</v>
      </c>
    </row>
    <row r="19" customFormat="false" ht="15" hidden="false" customHeight="false" outlineLevel="0" collapsed="false">
      <c r="A19" s="16" t="s">
        <v>335</v>
      </c>
      <c r="B19" s="22" t="n">
        <v>46329</v>
      </c>
      <c r="C19" s="16" t="s">
        <v>336</v>
      </c>
      <c r="D19" s="23" t="s">
        <v>337</v>
      </c>
      <c r="E19" s="23" t="s">
        <v>272</v>
      </c>
      <c r="F19" s="23" t="s">
        <v>338</v>
      </c>
      <c r="G19" s="11" t="n">
        <v>75</v>
      </c>
      <c r="H19" s="9" t="n">
        <v>3</v>
      </c>
      <c r="I19" s="13" t="n">
        <v>3</v>
      </c>
      <c r="J19" s="13" t="n">
        <v>2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3</v>
      </c>
      <c r="P19" s="13" t="n">
        <v>0</v>
      </c>
      <c r="Q19" s="13" t="n">
        <v>0</v>
      </c>
      <c r="R19" s="25" t="s">
        <v>47</v>
      </c>
      <c r="S19" s="9" t="n">
        <v>20</v>
      </c>
      <c r="T19" s="23" t="s">
        <v>339</v>
      </c>
      <c r="U19" s="23" t="s">
        <v>340</v>
      </c>
      <c r="V19" s="26" t="n">
        <f aca="false">VLOOKUP(MIN(J19,3),係数!$A$32:$B$35,2,TRUE())*IF(L19=1,係数!$B$28,1)*VLOOKUP(M19,係数!$A$38:$B$41,2,TRUE())*IF(P19=1,係数!$B$29,1)</f>
        <v>1.2</v>
      </c>
      <c r="W19" s="27" t="n">
        <f aca="false">INDEX(係数!$B$10:$B$12,MATCH(R19,係数!$A$10:$A$12,0))*(1-AN19)</f>
        <v>12</v>
      </c>
      <c r="X19" s="27" t="n">
        <f aca="false">H19*(係数!$B$5+係数!$B$4*V19*(S19/60+係数!$B$6+Q19*係数!$B$7))+N19*係数!$B$13*係数!$B$4*V19*(S19/60+係数!$B$6+Q19*係数!$B$7)</f>
        <v>9</v>
      </c>
      <c r="Y19" s="27" t="n">
        <f aca="false">MAX(H19-1,0)*係数!$B$8+O19*係数!$B$9</f>
        <v>14</v>
      </c>
      <c r="Z19" s="28" t="n">
        <f aca="false">ROUND((W19+X19+Y19)*AI19,0)</f>
        <v>35</v>
      </c>
      <c r="AA19" s="27" t="n">
        <f aca="false">INDEX(係数!$C$10:$C$12,MATCH(R19,係数!$A$10:$A$12,0))*(1-AN19)</f>
        <v>20</v>
      </c>
      <c r="AB19" s="27" t="n">
        <f aca="false">H19*(係数!$C$5+係数!$C$4*V19*(S19/60+係数!$C$6+Q19*係数!$C$7))+N19*係数!$C$13*係数!$C$4*V19*(S19/60+係数!$C$6+Q19*係数!$C$7)</f>
        <v>16.74</v>
      </c>
      <c r="AC19" s="27" t="n">
        <f aca="false">MAX(H19-1,0)*係数!$C$8+O19*係数!$C$9</f>
        <v>24</v>
      </c>
      <c r="AD19" s="28" t="n">
        <f aca="false">ROUND((AA19+AB19+AC19)*AI19,0)</f>
        <v>61</v>
      </c>
      <c r="AE19" s="27" t="n">
        <f aca="false">INDEX(係数!$D$10:$D$12,MATCH(R19,係数!$A$10:$A$12,0))*(1-AN19)</f>
        <v>30</v>
      </c>
      <c r="AF19" s="27" t="n">
        <f aca="false">H19*(係数!$D$5+係数!$D$4*V19*(S19/60+係数!$D$6+Q19*係数!$D$7))+N19*係数!$D$13*係数!$D$4*V19*(S19/60+係数!$D$6+Q19*係数!$D$7)</f>
        <v>25.32</v>
      </c>
      <c r="AG19" s="27" t="n">
        <f aca="false">MAX(H19-1,0)*係数!$D$8+O19*係数!$D$9</f>
        <v>34</v>
      </c>
      <c r="AH19" s="28" t="n">
        <f aca="false">ROUND((AE19+AF19+AG19)*AI19,0)</f>
        <v>89</v>
      </c>
      <c r="AI19" s="29" t="n">
        <v>1</v>
      </c>
      <c r="AJ19" s="8" t="str">
        <f aca="false">IF(G19&gt;=AH19,"余裕あり",IF(G19&gt;=AD19,"適正",IF(G19&gt;=Z19,"ギリギリ","不足")))</f>
        <v>適正</v>
      </c>
      <c r="AK19" s="12" t="n">
        <f aca="false">G19-AD19</f>
        <v>14</v>
      </c>
      <c r="AL19" s="30" t="n">
        <v>0.635416666666667</v>
      </c>
      <c r="AM19" s="30" t="n">
        <v>0.6875</v>
      </c>
      <c r="AN19" s="13" t="n">
        <v>0</v>
      </c>
      <c r="AO19" s="12" t="n">
        <f aca="false">H19</f>
        <v>3</v>
      </c>
      <c r="AP19" s="28" t="n">
        <f aca="false">AD19</f>
        <v>61</v>
      </c>
      <c r="AQ19" s="27" t="n">
        <f aca="false">AH19</f>
        <v>89</v>
      </c>
      <c r="AR19" s="8" t="s">
        <v>341</v>
      </c>
    </row>
    <row r="20" customFormat="false" ht="15" hidden="false" customHeight="false" outlineLevel="0" collapsed="false">
      <c r="A20" s="16" t="s">
        <v>342</v>
      </c>
      <c r="B20" s="22" t="n">
        <v>46329</v>
      </c>
      <c r="C20" s="16" t="s">
        <v>336</v>
      </c>
      <c r="D20" s="23" t="s">
        <v>343</v>
      </c>
      <c r="E20" s="23" t="s">
        <v>265</v>
      </c>
      <c r="F20" s="23" t="s">
        <v>344</v>
      </c>
      <c r="G20" s="11" t="n">
        <v>30</v>
      </c>
      <c r="H20" s="11" t="n">
        <v>1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25" t="s">
        <v>49</v>
      </c>
      <c r="S20" s="9" t="n">
        <v>15</v>
      </c>
      <c r="T20" s="23"/>
      <c r="U20" s="23" t="s">
        <v>345</v>
      </c>
      <c r="V20" s="26" t="n">
        <f aca="false">VLOOKUP(MIN(J20,3),係数!$A$32:$B$35,2,TRUE())*IF(L20=1,係数!$B$28,1)*VLOOKUP(M20,係数!$A$38:$B$41,2,TRUE())*IF(P20=1,係数!$B$29,1)</f>
        <v>1</v>
      </c>
      <c r="W20" s="27" t="n">
        <f aca="false">INDEX(係数!$B$10:$B$12,MATCH(R20,係数!$A$10:$A$12,0))*(1-AN20)</f>
        <v>8</v>
      </c>
      <c r="X20" s="27" t="n">
        <f aca="false">H20*(係数!$B$5+係数!$B$4*V20*(S20/60+係数!$B$6+Q20*係数!$B$7))+N20*係数!$B$13*係数!$B$4*V20*(S20/60+係数!$B$6+Q20*係数!$B$7)</f>
        <v>2.5</v>
      </c>
      <c r="Y20" s="27" t="n">
        <f aca="false">MAX(H20-1,0)*係数!$B$8+O20*係数!$B$9</f>
        <v>0</v>
      </c>
      <c r="Z20" s="28" t="n">
        <f aca="false">ROUND((W20+X20+Y20)*AI20,0)</f>
        <v>11</v>
      </c>
      <c r="AA20" s="27" t="n">
        <f aca="false">INDEX(係数!$C$10:$C$12,MATCH(R20,係数!$A$10:$A$12,0))*(1-AN20)</f>
        <v>12</v>
      </c>
      <c r="AB20" s="27" t="n">
        <f aca="false">H20*(係数!$C$5+係数!$C$4*V20*(S20/60+係数!$C$6+Q20*係数!$C$7))+N20*係数!$C$13*係数!$C$4*V20*(S20/60+係数!$C$6+Q20*係数!$C$7)</f>
        <v>4.65</v>
      </c>
      <c r="AC20" s="27" t="n">
        <f aca="false">MAX(H20-1,0)*係数!$C$8+O20*係数!$C$9</f>
        <v>0</v>
      </c>
      <c r="AD20" s="28" t="n">
        <f aca="false">ROUND((AA20+AB20+AC20)*AI20,0)</f>
        <v>17</v>
      </c>
      <c r="AE20" s="27" t="n">
        <f aca="false">INDEX(係数!$D$10:$D$12,MATCH(R20,係数!$A$10:$A$12,0))*(1-AN20)</f>
        <v>18</v>
      </c>
      <c r="AF20" s="27" t="n">
        <f aca="false">H20*(係数!$D$5+係数!$D$4*V20*(S20/60+係数!$D$6+Q20*係数!$D$7))+N20*係数!$D$13*係数!$D$4*V20*(S20/60+係数!$D$6+Q20*係数!$D$7)</f>
        <v>7.075</v>
      </c>
      <c r="AG20" s="27" t="n">
        <f aca="false">MAX(H20-1,0)*係数!$D$8+O20*係数!$D$9</f>
        <v>0</v>
      </c>
      <c r="AH20" s="28" t="n">
        <f aca="false">ROUND((AE20+AF20+AG20)*AI20,0)</f>
        <v>25</v>
      </c>
      <c r="AI20" s="29" t="n">
        <v>1</v>
      </c>
      <c r="AJ20" s="8" t="str">
        <f aca="false">IF(G20&gt;=AH20,"余裕あり",IF(G20&gt;=AD20,"適正",IF(G20&gt;=Z20,"ギリギリ","不足")))</f>
        <v>余裕あり</v>
      </c>
      <c r="AK20" s="12" t="n">
        <f aca="false">G20-AD20</f>
        <v>13</v>
      </c>
      <c r="AL20" s="30" t="n">
        <v>0.6875</v>
      </c>
      <c r="AM20" s="30" t="n">
        <v>0.708333333333333</v>
      </c>
      <c r="AN20" s="13" t="n">
        <v>0</v>
      </c>
      <c r="AO20" s="12" t="n">
        <f aca="false">H20</f>
        <v>1</v>
      </c>
      <c r="AP20" s="28" t="n">
        <f aca="false">AD20</f>
        <v>17</v>
      </c>
      <c r="AQ20" s="27" t="n">
        <f aca="false">AH20</f>
        <v>25</v>
      </c>
      <c r="AR20" s="8" t="s">
        <v>284</v>
      </c>
    </row>
    <row r="21" customFormat="false" ht="15" hidden="false" customHeight="false" outlineLevel="0" collapsed="false">
      <c r="A21" s="16" t="s">
        <v>346</v>
      </c>
      <c r="B21" s="22" t="n">
        <v>46333</v>
      </c>
      <c r="C21" s="16" t="s">
        <v>347</v>
      </c>
      <c r="D21" s="23" t="s">
        <v>348</v>
      </c>
      <c r="E21" s="23" t="s">
        <v>265</v>
      </c>
      <c r="F21" s="23" t="s">
        <v>338</v>
      </c>
      <c r="G21" s="11" t="n">
        <v>30</v>
      </c>
      <c r="H21" s="9" t="n">
        <v>2</v>
      </c>
      <c r="I21" s="13" t="n">
        <v>5</v>
      </c>
      <c r="J21" s="13" t="n">
        <v>2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2</v>
      </c>
      <c r="P21" s="13" t="n">
        <v>0</v>
      </c>
      <c r="Q21" s="13" t="n">
        <v>0</v>
      </c>
      <c r="R21" s="25" t="s">
        <v>49</v>
      </c>
      <c r="S21" s="9" t="n">
        <v>25</v>
      </c>
      <c r="T21" s="23" t="s">
        <v>273</v>
      </c>
      <c r="U21" s="23" t="s">
        <v>349</v>
      </c>
      <c r="V21" s="26" t="n">
        <f aca="false">VLOOKUP(MIN(J21,3),係数!$A$32:$B$35,2,TRUE())*IF(L21=1,係数!$B$28,1)*VLOOKUP(M21,係数!$A$38:$B$41,2,TRUE())*IF(P21=1,係数!$B$29,1)</f>
        <v>1.2</v>
      </c>
      <c r="W21" s="27" t="n">
        <f aca="false">INDEX(係数!$B$10:$B$12,MATCH(R21,係数!$A$10:$A$12,0))*(1-AN21)</f>
        <v>8</v>
      </c>
      <c r="X21" s="27" t="n">
        <f aca="false">H21*(係数!$B$5+係数!$B$4*V21*(S21/60+係数!$B$6+Q21*係数!$B$7))+N21*係数!$B$13*係数!$B$4*V21*(S21/60+係数!$B$6+Q21*係数!$B$7)</f>
        <v>6.4</v>
      </c>
      <c r="Y21" s="27" t="n">
        <f aca="false">MAX(H21-1,0)*係数!$B$8+O21*係数!$B$9</f>
        <v>8</v>
      </c>
      <c r="Z21" s="28" t="n">
        <f aca="false">ROUND((W21+X21+Y21)*AI21,0)</f>
        <v>22</v>
      </c>
      <c r="AA21" s="27" t="n">
        <f aca="false">INDEX(係数!$C$10:$C$12,MATCH(R21,係数!$A$10:$A$12,0))*(1-AN21)</f>
        <v>12</v>
      </c>
      <c r="AB21" s="27" t="n">
        <f aca="false">H21*(係数!$C$5+係数!$C$4*V21*(S21/60+係数!$C$6+Q21*係数!$C$7))+N21*係数!$C$13*係数!$C$4*V21*(S21/60+係数!$C$6+Q21*係数!$C$7)</f>
        <v>11.76</v>
      </c>
      <c r="AC21" s="27" t="n">
        <f aca="false">MAX(H21-1,0)*係数!$C$8+O21*係数!$C$9</f>
        <v>14</v>
      </c>
      <c r="AD21" s="28" t="n">
        <f aca="false">ROUND((AA21+AB21+AC21)*AI21,0)</f>
        <v>38</v>
      </c>
      <c r="AE21" s="27" t="n">
        <f aca="false">INDEX(係数!$D$10:$D$12,MATCH(R21,係数!$A$10:$A$12,0))*(1-AN21)</f>
        <v>18</v>
      </c>
      <c r="AF21" s="27" t="n">
        <f aca="false">H21*(係数!$D$5+係数!$D$4*V21*(S21/60+係数!$D$6+Q21*係数!$D$7))+N21*係数!$D$13*係数!$D$4*V21*(S21/60+係数!$D$6+Q21*係数!$D$7)</f>
        <v>17.58</v>
      </c>
      <c r="AG21" s="27" t="n">
        <f aca="false">MAX(H21-1,0)*係数!$D$8+O21*係数!$D$9</f>
        <v>20</v>
      </c>
      <c r="AH21" s="28" t="n">
        <f aca="false">ROUND((AE21+AF21+AG21)*AI21,0)</f>
        <v>56</v>
      </c>
      <c r="AI21" s="29" t="n">
        <v>1</v>
      </c>
      <c r="AJ21" s="8" t="str">
        <f aca="false">IF(G21&gt;=AH21,"余裕あり",IF(G21&gt;=AD21,"適正",IF(G21&gt;=Z21,"ギリギリ","不足")))</f>
        <v>ギリギリ</v>
      </c>
      <c r="AK21" s="12" t="n">
        <f aca="false">G21-AD21</f>
        <v>-8</v>
      </c>
      <c r="AL21" s="30" t="n">
        <v>0.458333333333333</v>
      </c>
      <c r="AM21" s="30" t="n">
        <v>0.479166666666667</v>
      </c>
      <c r="AN21" s="13" t="n">
        <v>0</v>
      </c>
      <c r="AO21" s="12" t="n">
        <f aca="false">H21</f>
        <v>2</v>
      </c>
      <c r="AP21" s="28" t="n">
        <f aca="false">AD21</f>
        <v>38</v>
      </c>
      <c r="AQ21" s="27" t="n">
        <f aca="false">AH21</f>
        <v>56</v>
      </c>
      <c r="AR21" s="8" t="s">
        <v>341</v>
      </c>
    </row>
    <row r="22" customFormat="false" ht="15" hidden="false" customHeight="false" outlineLevel="0" collapsed="false">
      <c r="A22" s="16" t="s">
        <v>102</v>
      </c>
      <c r="B22" s="22" t="n">
        <v>46333</v>
      </c>
      <c r="C22" s="16" t="s">
        <v>347</v>
      </c>
      <c r="D22" s="23" t="s">
        <v>348</v>
      </c>
      <c r="E22" s="23" t="s">
        <v>265</v>
      </c>
      <c r="F22" s="23" t="s">
        <v>266</v>
      </c>
      <c r="G22" s="11" t="n">
        <v>90</v>
      </c>
      <c r="H22" s="11" t="n">
        <v>13</v>
      </c>
      <c r="I22" s="13" t="n">
        <v>21</v>
      </c>
      <c r="J22" s="13" t="n">
        <v>2</v>
      </c>
      <c r="K22" s="13" t="n">
        <v>1</v>
      </c>
      <c r="L22" s="13" t="n">
        <v>1</v>
      </c>
      <c r="M22" s="13" t="n">
        <v>0</v>
      </c>
      <c r="N22" s="13" t="n">
        <v>1</v>
      </c>
      <c r="O22" s="13" t="n">
        <v>0</v>
      </c>
      <c r="P22" s="13" t="n">
        <v>0</v>
      </c>
      <c r="Q22" s="13" t="n">
        <v>0</v>
      </c>
      <c r="R22" s="25" t="s">
        <v>51</v>
      </c>
      <c r="S22" s="9" t="n">
        <v>15</v>
      </c>
      <c r="T22" s="23" t="s">
        <v>350</v>
      </c>
      <c r="U22" s="23" t="s">
        <v>351</v>
      </c>
      <c r="V22" s="26" t="n">
        <f aca="false">VLOOKUP(MIN(J22,3),係数!$A$32:$B$35,2,TRUE())*IF(L22=1,係数!$B$28,1)*VLOOKUP(M22,係数!$A$38:$B$41,2,TRUE())*IF(P22=1,係数!$B$29,1)</f>
        <v>1.8</v>
      </c>
      <c r="W22" s="27" t="n">
        <f aca="false">INDEX(係数!$B$10:$B$12,MATCH(R22,係数!$A$10:$A$12,0))*(1-AN22)</f>
        <v>3</v>
      </c>
      <c r="X22" s="27" t="n">
        <f aca="false">H22*(係数!$B$5+係数!$B$4*V22*(S22/60+係数!$B$6+Q22*係数!$B$7))+N22*係数!$B$13*係数!$B$4*V22*(S22/60+係数!$B$6+Q22*係数!$B$7)</f>
        <v>49.45</v>
      </c>
      <c r="Y22" s="27" t="n">
        <f aca="false">MAX(H22-1,0)*係数!$B$8+O22*係数!$B$9</f>
        <v>48</v>
      </c>
      <c r="Z22" s="28" t="n">
        <f aca="false">ROUND((W22+X22+Y22)*AI22,0)</f>
        <v>100</v>
      </c>
      <c r="AA22" s="27" t="n">
        <f aca="false">INDEX(係数!$C$10:$C$12,MATCH(R22,係数!$A$10:$A$12,0))*(1-AN22)</f>
        <v>5</v>
      </c>
      <c r="AB22" s="27" t="n">
        <f aca="false">H22*(係数!$C$5+係数!$C$4*V22*(S22/60+係数!$C$6+Q22*係数!$C$7))+N22*係数!$C$13*係数!$C$4*V22*(S22/60+係数!$C$6+Q22*係数!$C$7)</f>
        <v>96.045</v>
      </c>
      <c r="AC22" s="27" t="n">
        <f aca="false">MAX(H22-1,0)*係数!$C$8+O22*係数!$C$9</f>
        <v>72</v>
      </c>
      <c r="AD22" s="28" t="n">
        <f aca="false">ROUND((AA22+AB22+AC22)*AI22,0)</f>
        <v>173</v>
      </c>
      <c r="AE22" s="27" t="n">
        <f aca="false">INDEX(係数!$D$10:$D$12,MATCH(R22,係数!$A$10:$A$12,0))*(1-AN22)</f>
        <v>8</v>
      </c>
      <c r="AF22" s="27" t="n">
        <f aca="false">H22*(係数!$D$5+係数!$D$4*V22*(S22/60+係数!$D$6+Q22*係数!$D$7))+N22*係数!$D$13*係数!$D$4*V22*(S22/60+係数!$D$6+Q22*係数!$D$7)</f>
        <v>149.3225</v>
      </c>
      <c r="AG22" s="27" t="n">
        <f aca="false">MAX(H22-1,0)*係数!$D$8+O22*係数!$D$9</f>
        <v>96</v>
      </c>
      <c r="AH22" s="28" t="n">
        <f aca="false">ROUND((AE22+AF22+AG22)*AI22,0)</f>
        <v>253</v>
      </c>
      <c r="AI22" s="29" t="n">
        <v>1</v>
      </c>
      <c r="AJ22" s="8" t="str">
        <f aca="false">IF(G22&gt;=AH22,"余裕あり",IF(G22&gt;=AD22,"適正",IF(G22&gt;=Z22,"ギリギリ","不足")))</f>
        <v>不足</v>
      </c>
      <c r="AK22" s="12" t="n">
        <f aca="false">G22-AD22</f>
        <v>-83</v>
      </c>
      <c r="AL22" s="30" t="n">
        <v>0.486111111111111</v>
      </c>
      <c r="AM22" s="30" t="n">
        <v>0.548611111111111</v>
      </c>
      <c r="AN22" s="13" t="n">
        <v>0</v>
      </c>
      <c r="AO22" s="12" t="n">
        <f aca="false">COUNTIFS(構図優先度!$A$12:$A$70,A22,構図優先度!$J$12:$J$70,1,構図優先度!$I$12:$I$70,0,構図優先度!$B$12:$B$70,"&lt;&gt;末尾")</f>
        <v>12</v>
      </c>
      <c r="AP22" s="10" t="n">
        <f aca="false">ROUND((AA22+SUMIFS(構図優先度!$K$12:$K$70,構図優先度!$A$12:$A$70,A22,構図優先度!$J$12:$J$70,1,構図優先度!$I$12:$I$70,0)-IF(AO22&gt;0,係数!$C$8,0))*AI22,0)</f>
        <v>159</v>
      </c>
      <c r="AQ22" s="12" t="n">
        <f aca="false">ROUND((AE22+SUMIFS(構図優先度!$L$12:$L$70,構図優先度!$A$12:$A$70,A22,構図優先度!$J$12:$J$70,1,構図優先度!$I$12:$I$70,0)-IF(AO22&gt;0,係数!$D$8,0))*AI22,0)</f>
        <v>233</v>
      </c>
      <c r="AR22" s="8" t="s">
        <v>284</v>
      </c>
    </row>
    <row r="23" customFormat="false" ht="15" hidden="false" customHeight="false" outlineLevel="0" collapsed="false">
      <c r="A23" s="16" t="s">
        <v>352</v>
      </c>
      <c r="B23" s="22" t="n">
        <v>46333</v>
      </c>
      <c r="C23" s="16" t="s">
        <v>347</v>
      </c>
      <c r="D23" s="23" t="s">
        <v>353</v>
      </c>
      <c r="E23" s="23" t="s">
        <v>265</v>
      </c>
      <c r="F23" s="23" t="s">
        <v>338</v>
      </c>
      <c r="G23" s="11" t="n">
        <v>75</v>
      </c>
      <c r="H23" s="9" t="n">
        <v>3</v>
      </c>
      <c r="I23" s="13" t="n">
        <v>15</v>
      </c>
      <c r="J23" s="13" t="n">
        <v>2</v>
      </c>
      <c r="K23" s="13" t="n">
        <v>0</v>
      </c>
      <c r="L23" s="13" t="n">
        <v>0</v>
      </c>
      <c r="M23" s="13" t="n">
        <v>0</v>
      </c>
      <c r="N23" s="13" t="n">
        <v>1</v>
      </c>
      <c r="O23" s="13" t="n">
        <v>3</v>
      </c>
      <c r="P23" s="13" t="n">
        <v>0</v>
      </c>
      <c r="Q23" s="13" t="n">
        <v>0</v>
      </c>
      <c r="R23" s="25" t="s">
        <v>49</v>
      </c>
      <c r="S23" s="9" t="n">
        <v>40</v>
      </c>
      <c r="T23" s="23" t="s">
        <v>273</v>
      </c>
      <c r="U23" s="23" t="s">
        <v>354</v>
      </c>
      <c r="V23" s="26" t="n">
        <f aca="false">VLOOKUP(MIN(J23,3),係数!$A$32:$B$35,2,TRUE())*IF(L23=1,係数!$B$28,1)*VLOOKUP(M23,係数!$A$38:$B$41,2,TRUE())*IF(P23=1,係数!$B$29,1)</f>
        <v>1.2</v>
      </c>
      <c r="W23" s="27" t="n">
        <f aca="false">INDEX(係数!$B$10:$B$12,MATCH(R23,係数!$A$10:$A$12,0))*(1-AN23)</f>
        <v>8</v>
      </c>
      <c r="X23" s="27" t="n">
        <f aca="false">H23*(係数!$B$5+係数!$B$4*V23*(S23/60+係数!$B$6+Q23*係数!$B$7))+N23*係数!$B$13*係数!$B$4*V23*(S23/60+係数!$B$6+Q23*係数!$B$7)</f>
        <v>12.8</v>
      </c>
      <c r="Y23" s="27" t="n">
        <f aca="false">MAX(H23-1,0)*係数!$B$8+O23*係数!$B$9</f>
        <v>14</v>
      </c>
      <c r="Z23" s="28" t="n">
        <f aca="false">ROUND((W23+X23+Y23)*AI23,0)</f>
        <v>35</v>
      </c>
      <c r="AA23" s="27" t="n">
        <f aca="false">INDEX(係数!$C$10:$C$12,MATCH(R23,係数!$A$10:$A$12,0))*(1-AN23)</f>
        <v>12</v>
      </c>
      <c r="AB23" s="27" t="n">
        <f aca="false">H23*(係数!$C$5+係数!$C$4*V23*(S23/60+係数!$C$6+Q23*係数!$C$7))+N23*係数!$C$13*係数!$C$4*V23*(S23/60+係数!$C$6+Q23*係数!$C$7)</f>
        <v>22.98</v>
      </c>
      <c r="AC23" s="27" t="n">
        <f aca="false">MAX(H23-1,0)*係数!$C$8+O23*係数!$C$9</f>
        <v>24</v>
      </c>
      <c r="AD23" s="28" t="n">
        <f aca="false">ROUND((AA23+AB23+AC23)*AI23,0)</f>
        <v>59</v>
      </c>
      <c r="AE23" s="27" t="n">
        <f aca="false">INDEX(係数!$D$10:$D$12,MATCH(R23,係数!$A$10:$A$12,0))*(1-AN23)</f>
        <v>18</v>
      </c>
      <c r="AF23" s="27" t="n">
        <f aca="false">H23*(係数!$D$5+係数!$D$4*V23*(S23/60+係数!$D$6+Q23*係数!$D$7))+N23*係数!$D$13*係数!$D$4*V23*(S23/60+係数!$D$6+Q23*係数!$D$7)</f>
        <v>33.44</v>
      </c>
      <c r="AG23" s="27" t="n">
        <f aca="false">MAX(H23-1,0)*係数!$D$8+O23*係数!$D$9</f>
        <v>34</v>
      </c>
      <c r="AH23" s="28" t="n">
        <f aca="false">ROUND((AE23+AF23+AG23)*AI23,0)</f>
        <v>85</v>
      </c>
      <c r="AI23" s="29" t="n">
        <v>1</v>
      </c>
      <c r="AJ23" s="8" t="str">
        <f aca="false">IF(G23&gt;=AH23,"余裕あり",IF(G23&gt;=AD23,"適正",IF(G23&gt;=Z23,"ギリギリ","不足")))</f>
        <v>適正</v>
      </c>
      <c r="AK23" s="12" t="n">
        <f aca="false">G23-AD23</f>
        <v>16</v>
      </c>
      <c r="AL23" s="30" t="n">
        <v>0.604166666666667</v>
      </c>
      <c r="AM23" s="30" t="n">
        <v>0.65625</v>
      </c>
      <c r="AN23" s="13" t="n">
        <v>0</v>
      </c>
      <c r="AO23" s="12" t="n">
        <f aca="false">H23</f>
        <v>3</v>
      </c>
      <c r="AP23" s="28" t="n">
        <f aca="false">AD23</f>
        <v>59</v>
      </c>
      <c r="AQ23" s="27" t="n">
        <f aca="false">AH23</f>
        <v>85</v>
      </c>
      <c r="AR23" s="8" t="s">
        <v>341</v>
      </c>
    </row>
    <row r="24" customFormat="false" ht="15" hidden="false" customHeight="false" outlineLevel="0" collapsed="false">
      <c r="A24" s="16" t="s">
        <v>355</v>
      </c>
      <c r="B24" s="22" t="n">
        <v>46333</v>
      </c>
      <c r="C24" s="16" t="s">
        <v>347</v>
      </c>
      <c r="D24" s="23" t="s">
        <v>356</v>
      </c>
      <c r="E24" s="23" t="s">
        <v>265</v>
      </c>
      <c r="F24" s="23" t="s">
        <v>338</v>
      </c>
      <c r="G24" s="11" t="n">
        <v>15</v>
      </c>
      <c r="H24" s="9" t="n">
        <v>2</v>
      </c>
      <c r="I24" s="13" t="n">
        <v>2</v>
      </c>
      <c r="J24" s="13" t="n">
        <v>2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0</v>
      </c>
      <c r="Q24" s="13" t="n">
        <v>1</v>
      </c>
      <c r="R24" s="25" t="s">
        <v>49</v>
      </c>
      <c r="S24" s="9" t="n">
        <v>20</v>
      </c>
      <c r="T24" s="23" t="s">
        <v>273</v>
      </c>
      <c r="U24" s="23" t="s">
        <v>357</v>
      </c>
      <c r="V24" s="26" t="n">
        <f aca="false">VLOOKUP(MIN(J24,3),係数!$A$32:$B$35,2,TRUE())*IF(L24=1,係数!$B$28,1)*VLOOKUP(M24,係数!$A$38:$B$41,2,TRUE())*IF(P24=1,係数!$B$29,1)</f>
        <v>1.2</v>
      </c>
      <c r="W24" s="27" t="n">
        <f aca="false">INDEX(係数!$B$10:$B$12,MATCH(R24,係数!$A$10:$A$12,0))*(1-AN24)</f>
        <v>8</v>
      </c>
      <c r="X24" s="27" t="n">
        <f aca="false">H24*(係数!$B$5+係数!$B$4*V24*(S24/60+係数!$B$6+Q24*係数!$B$7))+N24*係数!$B$13*係数!$B$4*V24*(S24/60+係数!$B$6+Q24*係数!$B$7)</f>
        <v>13.2</v>
      </c>
      <c r="Y24" s="27" t="n">
        <f aca="false">MAX(H24-1,0)*係数!$B$8+O24*係数!$B$9</f>
        <v>8</v>
      </c>
      <c r="Z24" s="28" t="n">
        <f aca="false">ROUND((W24+X24+Y24)*AI24,0)</f>
        <v>29</v>
      </c>
      <c r="AA24" s="27" t="n">
        <f aca="false">INDEX(係数!$C$10:$C$12,MATCH(R24,係数!$A$10:$A$12,0))*(1-AN24)</f>
        <v>12</v>
      </c>
      <c r="AB24" s="27" t="n">
        <f aca="false">H24*(係数!$C$5+係数!$C$4*V24*(S24/60+係数!$C$6+Q24*係数!$C$7))+N24*係数!$C$13*係数!$C$4*V24*(S24/60+係数!$C$6+Q24*係数!$C$7)</f>
        <v>29.16</v>
      </c>
      <c r="AC24" s="27" t="n">
        <f aca="false">MAX(H24-1,0)*係数!$C$8+O24*係数!$C$9</f>
        <v>14</v>
      </c>
      <c r="AD24" s="28" t="n">
        <f aca="false">ROUND((AA24+AB24+AC24)*AI24,0)</f>
        <v>55</v>
      </c>
      <c r="AE24" s="27" t="n">
        <f aca="false">INDEX(係数!$D$10:$D$12,MATCH(R24,係数!$A$10:$A$12,0))*(1-AN24)</f>
        <v>18</v>
      </c>
      <c r="AF24" s="27" t="n">
        <f aca="false">H24*(係数!$D$5+係数!$D$4*V24*(S24/60+係数!$D$6+Q24*係数!$D$7))+N24*係数!$D$13*係数!$D$4*V24*(S24/60+係数!$D$6+Q24*係数!$D$7)</f>
        <v>50.48</v>
      </c>
      <c r="AG24" s="27" t="n">
        <f aca="false">MAX(H24-1,0)*係数!$D$8+O24*係数!$D$9</f>
        <v>20</v>
      </c>
      <c r="AH24" s="28" t="n">
        <f aca="false">ROUND((AE24+AF24+AG24)*AI24,0)</f>
        <v>88</v>
      </c>
      <c r="AI24" s="29" t="n">
        <v>1</v>
      </c>
      <c r="AJ24" s="8" t="str">
        <f aca="false">IF(G24&gt;=AH24,"余裕あり",IF(G24&gt;=AD24,"適正",IF(G24&gt;=Z24,"ギリギリ","不足")))</f>
        <v>不足</v>
      </c>
      <c r="AK24" s="12" t="n">
        <f aca="false">G24-AD24</f>
        <v>-40</v>
      </c>
      <c r="AL24" s="30" t="n">
        <v>0.670138888888889</v>
      </c>
      <c r="AM24" s="30" t="n">
        <v>0.680555555555556</v>
      </c>
      <c r="AN24" s="13" t="n">
        <v>0</v>
      </c>
      <c r="AO24" s="12" t="n">
        <f aca="false">H24</f>
        <v>2</v>
      </c>
      <c r="AP24" s="28" t="n">
        <f aca="false">AD24</f>
        <v>55</v>
      </c>
      <c r="AQ24" s="27" t="n">
        <f aca="false">AH24</f>
        <v>88</v>
      </c>
      <c r="AR24" s="8" t="s">
        <v>341</v>
      </c>
    </row>
    <row r="25" customFormat="false" ht="15" hidden="false" customHeight="false" outlineLevel="0" collapsed="false">
      <c r="A25" s="16" t="s">
        <v>358</v>
      </c>
      <c r="B25" s="22" t="n">
        <v>46333</v>
      </c>
      <c r="C25" s="16" t="s">
        <v>359</v>
      </c>
      <c r="D25" s="23" t="s">
        <v>360</v>
      </c>
      <c r="E25" s="23" t="s">
        <v>265</v>
      </c>
      <c r="F25" s="23" t="s">
        <v>344</v>
      </c>
      <c r="G25" s="11" t="n">
        <v>45</v>
      </c>
      <c r="H25" s="11" t="n">
        <v>1</v>
      </c>
      <c r="I25" s="13" t="n">
        <v>0</v>
      </c>
      <c r="J25" s="13" t="n">
        <v>2</v>
      </c>
      <c r="K25" s="13" t="n">
        <v>0</v>
      </c>
      <c r="L25" s="13" t="n">
        <v>0</v>
      </c>
      <c r="M25" s="13" t="n">
        <v>0</v>
      </c>
      <c r="N25" s="13" t="n">
        <v>1</v>
      </c>
      <c r="O25" s="13" t="n">
        <v>1</v>
      </c>
      <c r="P25" s="13" t="n">
        <v>0</v>
      </c>
      <c r="Q25" s="13" t="n">
        <v>0</v>
      </c>
      <c r="R25" s="25" t="s">
        <v>49</v>
      </c>
      <c r="S25" s="9" t="n">
        <v>30</v>
      </c>
      <c r="T25" s="23" t="s">
        <v>273</v>
      </c>
      <c r="U25" s="16" t="s">
        <v>361</v>
      </c>
      <c r="V25" s="26" t="n">
        <f aca="false">VLOOKUP(MIN(J25,3),係数!$A$32:$B$35,2,TRUE())*IF(L25=1,係数!$B$28,1)*VLOOKUP(M25,係数!$A$38:$B$41,2,TRUE())*IF(P25=1,係数!$B$29,1)</f>
        <v>1.2</v>
      </c>
      <c r="W25" s="27" t="n">
        <f aca="false">INDEX(係数!$B$10:$B$12,MATCH(R25,係数!$A$10:$A$12,0))*(1-AN25)</f>
        <v>8</v>
      </c>
      <c r="X25" s="27" t="n">
        <f aca="false">H25*(係数!$B$5+係数!$B$4*V25*(S25/60+係数!$B$6+Q25*係数!$B$7))+N25*係数!$B$13*係数!$B$4*V25*(S25/60+係数!$B$6+Q25*係数!$B$7)</f>
        <v>4.6</v>
      </c>
      <c r="Y25" s="27" t="n">
        <f aca="false">MAX(H25-1,0)*係数!$B$8+O25*係数!$B$9</f>
        <v>2</v>
      </c>
      <c r="Z25" s="28" t="n">
        <f aca="false">ROUND((W25+X25+Y25)*AI25,0)</f>
        <v>15</v>
      </c>
      <c r="AA25" s="27" t="n">
        <f aca="false">INDEX(係数!$C$10:$C$12,MATCH(R25,係数!$A$10:$A$12,0))*(1-AN25)</f>
        <v>12</v>
      </c>
      <c r="AB25" s="27" t="n">
        <f aca="false">H25*(係数!$C$5+係数!$C$4*V25*(S25/60+係数!$C$6+Q25*係数!$C$7))+N25*係数!$C$13*係数!$C$4*V25*(S25/60+係数!$C$6+Q25*係数!$C$7)</f>
        <v>8.52</v>
      </c>
      <c r="AC25" s="27" t="n">
        <f aca="false">MAX(H25-1,0)*係数!$C$8+O25*係数!$C$9</f>
        <v>4</v>
      </c>
      <c r="AD25" s="28" t="n">
        <f aca="false">ROUND((AA25+AB25+AC25)*AI25,0)</f>
        <v>25</v>
      </c>
      <c r="AE25" s="27" t="n">
        <f aca="false">INDEX(係数!$D$10:$D$12,MATCH(R25,係数!$A$10:$A$12,0))*(1-AN25)</f>
        <v>18</v>
      </c>
      <c r="AF25" s="27" t="n">
        <f aca="false">H25*(係数!$D$5+係数!$D$4*V25*(S25/60+係数!$D$6+Q25*係数!$D$7))+N25*係数!$D$13*係数!$D$4*V25*(S25/60+係数!$D$6+Q25*係数!$D$7)</f>
        <v>12.71</v>
      </c>
      <c r="AG25" s="27" t="n">
        <f aca="false">MAX(H25-1,0)*係数!$D$8+O25*係数!$D$9</f>
        <v>6</v>
      </c>
      <c r="AH25" s="28" t="n">
        <f aca="false">ROUND((AE25+AF25+AG25)*AI25,0)</f>
        <v>37</v>
      </c>
      <c r="AI25" s="29" t="n">
        <v>1</v>
      </c>
      <c r="AJ25" s="8" t="str">
        <f aca="false">IF(G25&gt;=AH25,"余裕あり",IF(G25&gt;=AD25,"適正",IF(G25&gt;=Z25,"ギリギリ","不足")))</f>
        <v>余裕あり</v>
      </c>
      <c r="AK25" s="12" t="n">
        <f aca="false">G25-AD25</f>
        <v>20</v>
      </c>
      <c r="AL25" s="30" t="n">
        <v>0.6875</v>
      </c>
      <c r="AM25" s="30" t="n">
        <v>0.71875</v>
      </c>
      <c r="AN25" s="13" t="n">
        <v>0</v>
      </c>
      <c r="AO25" s="12" t="n">
        <f aca="false">H25</f>
        <v>1</v>
      </c>
      <c r="AP25" s="28" t="n">
        <f aca="false">AD25</f>
        <v>25</v>
      </c>
      <c r="AQ25" s="27" t="n">
        <f aca="false">AH25</f>
        <v>37</v>
      </c>
      <c r="AR25" s="8" t="s">
        <v>284</v>
      </c>
    </row>
    <row r="26" customFormat="false" ht="15" hidden="false" customHeight="false" outlineLevel="0" collapsed="false">
      <c r="A26" s="10" t="s">
        <v>362</v>
      </c>
      <c r="B26" s="5"/>
      <c r="C26" s="5"/>
      <c r="D26" s="5"/>
      <c r="E26" s="5"/>
      <c r="F26" s="5"/>
      <c r="G26" s="10" t="n">
        <f aca="false">SUM(G4:G25)</f>
        <v>1120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0" t="n">
        <f aca="false">SUM(Z4:Z25)</f>
        <v>763</v>
      </c>
      <c r="AA26" s="5"/>
      <c r="AB26" s="5"/>
      <c r="AC26" s="5"/>
      <c r="AD26" s="10" t="n">
        <f aca="false">SUM(AD4:AD25)</f>
        <v>1323</v>
      </c>
      <c r="AE26" s="5"/>
      <c r="AF26" s="5"/>
      <c r="AG26" s="5"/>
      <c r="AH26" s="10" t="n">
        <f aca="false">SUM(AH4:AH25)</f>
        <v>1954</v>
      </c>
      <c r="AI26" s="5"/>
      <c r="AJ26" s="5"/>
      <c r="AK26" s="5"/>
      <c r="AL26" s="5"/>
      <c r="AM26" s="5"/>
      <c r="AN26" s="5"/>
      <c r="AO26" s="5"/>
      <c r="AP26" s="10" t="n">
        <f aca="false">SUM(AP4:AP25)</f>
        <v>1184</v>
      </c>
      <c r="AQ26" s="10" t="n">
        <f aca="false">SUM(AQ4:AQ25)</f>
        <v>1754</v>
      </c>
      <c r="AR26" s="5"/>
    </row>
  </sheetData>
  <conditionalFormatting sqref="AJ4:AJ25">
    <cfRule type="cellIs" priority="2" operator="equal" aboveAverage="0" equalAverage="0" bottom="0" percent="0" rank="0" text="" dxfId="1">
      <formula>"不足"</formula>
    </cfRule>
    <cfRule type="cellIs" priority="3" operator="equal" aboveAverage="0" equalAverage="0" bottom="0" percent="0" rank="0" text="" dxfId="1">
      <formula>"超過"</formula>
    </cfRule>
    <cfRule type="cellIs" priority="4" operator="equal" aboveAverage="0" equalAverage="0" bottom="0" percent="0" rank="0" text="" dxfId="1">
      <formula>"ずれ"</formula>
    </cfRule>
    <cfRule type="cellIs" priority="5" operator="equal" aboveAverage="0" equalAverage="0" bottom="0" percent="0" rank="0" text="" dxfId="1">
      <formula>"超える"</formula>
    </cfRule>
    <cfRule type="cellIs" priority="6" operator="equal" aboveAverage="0" equalAverage="0" bottom="0" percent="0" rank="0" text="" dxfId="2">
      <formula>"ギリギリ"</formula>
    </cfRule>
    <cfRule type="cellIs" priority="7" operator="equal" aboveAverage="0" equalAverage="0" bottom="0" percent="0" rank="0" text="" dxfId="2">
      <formula>"条件付き"</formula>
    </cfRule>
    <cfRule type="cellIs" priority="8" operator="equal" aboveAverage="0" equalAverage="0" bottom="0" percent="0" rank="0" text="" dxfId="2">
      <formula>"一部ずれ"</formula>
    </cfRule>
    <cfRule type="cellIs" priority="9" operator="equal" aboveAverage="0" equalAverage="0" bottom="0" percent="0" rank="0" text="" dxfId="0">
      <formula>"余裕あり"</formula>
    </cfRule>
    <cfRule type="cellIs" priority="10" operator="equal" aboveAverage="0" equalAverage="0" bottom="0" percent="0" rank="0" text="" dxfId="0">
      <formula>"収まる"</formula>
    </cfRule>
    <cfRule type="cellIs" priority="11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52"/>
    <col collapsed="false" customWidth="true" hidden="false" outlineLevel="0" max="10" min="4" style="0" width="9"/>
    <col collapsed="false" customWidth="true" hidden="false" outlineLevel="0" max="11" min="11" style="0" width="66"/>
    <col collapsed="false" customWidth="true" hidden="false" outlineLevel="0" max="13" min="13" style="0" width="30"/>
  </cols>
  <sheetData>
    <row r="1" customFormat="false" ht="16.4" hidden="false" customHeight="false" outlineLevel="0" collapsed="false">
      <c r="A1" s="4" t="s">
        <v>363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15" hidden="false" customHeight="false" outlineLevel="0" collapsed="false">
      <c r="A2" s="6" t="s">
        <v>364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30" hidden="false" customHeight="true" outlineLevel="0" collapsed="false">
      <c r="A4" s="7" t="s">
        <v>365</v>
      </c>
      <c r="B4" s="7" t="s">
        <v>32</v>
      </c>
      <c r="C4" s="7" t="s">
        <v>366</v>
      </c>
      <c r="D4" s="7" t="s">
        <v>367</v>
      </c>
      <c r="E4" s="7" t="s">
        <v>368</v>
      </c>
      <c r="F4" s="7" t="s">
        <v>369</v>
      </c>
      <c r="G4" s="7" t="s">
        <v>370</v>
      </c>
      <c r="H4" s="7" t="s">
        <v>371</v>
      </c>
      <c r="I4" s="7" t="s">
        <v>372</v>
      </c>
      <c r="J4" s="7" t="s">
        <v>373</v>
      </c>
      <c r="K4" s="7" t="s">
        <v>85</v>
      </c>
      <c r="L4" s="5"/>
      <c r="M4" s="15" t="s">
        <v>374</v>
      </c>
    </row>
    <row r="5" customFormat="false" ht="15" hidden="false" customHeight="false" outlineLevel="0" collapsed="false">
      <c r="A5" s="15" t="s">
        <v>375</v>
      </c>
      <c r="B5" s="8" t="s">
        <v>376</v>
      </c>
      <c r="C5" s="8" t="s">
        <v>377</v>
      </c>
      <c r="D5" s="31" t="n">
        <v>0</v>
      </c>
      <c r="E5" s="31" t="n">
        <v>0</v>
      </c>
      <c r="F5" s="5"/>
      <c r="G5" s="32" t="n">
        <f aca="false">MAX(TIME(10,0,0),N(F5))</f>
        <v>0.416666666666667</v>
      </c>
      <c r="H5" s="33" t="n">
        <f aca="false">G5+D5/1440</f>
        <v>0.416666666666667</v>
      </c>
      <c r="I5" s="32" t="n">
        <f aca="false">MAX(TIME(10,0,0),N(F5))</f>
        <v>0.416666666666667</v>
      </c>
      <c r="J5" s="32" t="n">
        <f aca="false">I5+E5/1440</f>
        <v>0.416666666666667</v>
      </c>
      <c r="K5" s="12" t="s">
        <v>378</v>
      </c>
      <c r="L5" s="5"/>
      <c r="M5" s="9" t="n">
        <v>0</v>
      </c>
    </row>
    <row r="6" customFormat="false" ht="15" hidden="false" customHeight="false" outlineLevel="0" collapsed="false">
      <c r="A6" s="12"/>
      <c r="B6" s="8" t="s">
        <v>379</v>
      </c>
      <c r="C6" s="8" t="s">
        <v>380</v>
      </c>
      <c r="D6" s="17" t="n">
        <f aca="false">ROUNDUP((2*係数!$B$18+1*係数!$B$19)/係数!$B$20,0)</f>
        <v>13</v>
      </c>
      <c r="E6" s="17" t="n">
        <f aca="false">ROUNDUP((2*係数!$B$18+1*係数!$B$19)/係数!$B$20,0)</f>
        <v>13</v>
      </c>
      <c r="F6" s="5"/>
      <c r="G6" s="32" t="n">
        <f aca="false">MAX(H5,N(F6))</f>
        <v>0.416666666666667</v>
      </c>
      <c r="H6" s="33" t="n">
        <f aca="false">G6+D6/1440</f>
        <v>0.425694444444444</v>
      </c>
      <c r="I6" s="32" t="n">
        <f aca="false">MAX(J5,N(F6))</f>
        <v>0.416666666666667</v>
      </c>
      <c r="J6" s="32" t="n">
        <f aca="false">I6+E6/1440</f>
        <v>0.425694444444444</v>
      </c>
      <c r="K6" s="8" t="s">
        <v>381</v>
      </c>
      <c r="L6" s="5"/>
      <c r="M6" s="5"/>
    </row>
    <row r="7" customFormat="false" ht="15" hidden="false" customHeight="false" outlineLevel="0" collapsed="false">
      <c r="A7" s="34"/>
      <c r="B7" s="35" t="s">
        <v>382</v>
      </c>
      <c r="C7" s="34" t="s">
        <v>383</v>
      </c>
      <c r="D7" s="36" t="n">
        <f aca="false">INDEX(シーン見積!$AP$4:$AP$25,MATCH("3",シーン見積!$A$4:$A$25,0))</f>
        <v>37</v>
      </c>
      <c r="E7" s="36" t="n">
        <f aca="false">INDEX(シーン見積!$AQ$4:$AQ$25,MATCH("3",シーン見積!$A$4:$A$25,0))</f>
        <v>54</v>
      </c>
      <c r="F7" s="37" t="n">
        <v>0.479166666666667</v>
      </c>
      <c r="G7" s="38" t="n">
        <f aca="false">MAX(H6,N(F7))</f>
        <v>0.479166666666667</v>
      </c>
      <c r="H7" s="39" t="n">
        <f aca="false">G7+D7/1440</f>
        <v>0.504861111111111</v>
      </c>
      <c r="I7" s="38" t="n">
        <f aca="false">MAX(J6,N(F7))</f>
        <v>0.479166666666667</v>
      </c>
      <c r="J7" s="38" t="n">
        <f aca="false">I7+E7/1440</f>
        <v>0.516666666666667</v>
      </c>
      <c r="K7" s="35" t="s">
        <v>384</v>
      </c>
      <c r="L7" s="5"/>
      <c r="M7" s="5"/>
    </row>
    <row r="8" customFormat="false" ht="15" hidden="false" customHeight="false" outlineLevel="0" collapsed="false">
      <c r="A8" s="12"/>
      <c r="B8" s="8" t="s">
        <v>385</v>
      </c>
      <c r="C8" s="12" t="s">
        <v>386</v>
      </c>
      <c r="D8" s="17" t="n">
        <f aca="false">INDEX(移動!$C$4:$C$12,MATCH("校舎↔屋外",移動!$A$4:$A$12,0))</f>
        <v>15</v>
      </c>
      <c r="E8" s="17" t="n">
        <f aca="false">INDEX(移動!$D$4:$D$12,MATCH("校舎↔屋外",移動!$A$4:$A$12,0))</f>
        <v>20</v>
      </c>
      <c r="F8" s="5"/>
      <c r="G8" s="32" t="n">
        <f aca="false">MAX(H7,N(F8))</f>
        <v>0.504861111111111</v>
      </c>
      <c r="H8" s="33" t="n">
        <f aca="false">G8+D8/1440</f>
        <v>0.515277777777778</v>
      </c>
      <c r="I8" s="32" t="n">
        <f aca="false">MAX(J7,N(F8))</f>
        <v>0.516666666666667</v>
      </c>
      <c r="J8" s="32" t="n">
        <f aca="false">I8+E8/1440</f>
        <v>0.530555555555556</v>
      </c>
      <c r="K8" s="12"/>
      <c r="L8" s="5"/>
      <c r="M8" s="5"/>
    </row>
    <row r="9" customFormat="false" ht="15" hidden="false" customHeight="false" outlineLevel="0" collapsed="false">
      <c r="A9" s="34"/>
      <c r="B9" s="35" t="s">
        <v>382</v>
      </c>
      <c r="C9" s="34" t="s">
        <v>387</v>
      </c>
      <c r="D9" s="36" t="n">
        <f aca="false">INDEX(シーン見積!$AP$4:$AP$25,MATCH("4",シーン見積!$A$4:$A$25,0))</f>
        <v>48</v>
      </c>
      <c r="E9" s="36" t="n">
        <f aca="false">INDEX(シーン見積!$AQ$4:$AQ$25,MATCH("4",シーン見積!$A$4:$A$25,0))</f>
        <v>78</v>
      </c>
      <c r="F9" s="40"/>
      <c r="G9" s="38" t="n">
        <f aca="false">MAX(H8,N(F9))</f>
        <v>0.515277777777778</v>
      </c>
      <c r="H9" s="39" t="n">
        <f aca="false">G9+D9/1440</f>
        <v>0.548611111111111</v>
      </c>
      <c r="I9" s="38" t="n">
        <f aca="false">MAX(J8,N(F9))</f>
        <v>0.530555555555556</v>
      </c>
      <c r="J9" s="38" t="n">
        <f aca="false">I9+E9/1440</f>
        <v>0.584722222222222</v>
      </c>
      <c r="K9" s="34"/>
      <c r="L9" s="5"/>
      <c r="M9" s="5"/>
    </row>
    <row r="10" customFormat="false" ht="15" hidden="false" customHeight="false" outlineLevel="0" collapsed="false">
      <c r="A10" s="12"/>
      <c r="B10" s="8" t="s">
        <v>376</v>
      </c>
      <c r="C10" s="8" t="s">
        <v>388</v>
      </c>
      <c r="D10" s="17" t="n">
        <f aca="false">係数!$B$21</f>
        <v>50</v>
      </c>
      <c r="E10" s="17" t="n">
        <f aca="false">係数!$B$21</f>
        <v>50</v>
      </c>
      <c r="F10" s="5"/>
      <c r="G10" s="32" t="n">
        <f aca="false">MAX(H9,N(F10))</f>
        <v>0.548611111111111</v>
      </c>
      <c r="H10" s="33" t="n">
        <f aca="false">G10+D10/1440</f>
        <v>0.583333333333333</v>
      </c>
      <c r="I10" s="32" t="n">
        <f aca="false">MAX(J9,N(F10))</f>
        <v>0.584722222222222</v>
      </c>
      <c r="J10" s="32" t="n">
        <f aca="false">I10+E10/1440</f>
        <v>0.619444444444445</v>
      </c>
      <c r="K10" s="12"/>
      <c r="L10" s="5"/>
      <c r="M10" s="5"/>
    </row>
    <row r="11" customFormat="false" ht="15" hidden="false" customHeight="false" outlineLevel="0" collapsed="false">
      <c r="A11" s="34"/>
      <c r="B11" s="35" t="s">
        <v>382</v>
      </c>
      <c r="C11" s="34" t="s">
        <v>389</v>
      </c>
      <c r="D11" s="36" t="n">
        <f aca="false">INDEX(シーン見積!$AP$4:$AP$25,MATCH("16A",シーン見積!$A$4:$A$25,0))</f>
        <v>18</v>
      </c>
      <c r="E11" s="36" t="n">
        <f aca="false">INDEX(シーン見積!$AQ$4:$AQ$25,MATCH("16A",シーン見積!$A$4:$A$25,0))</f>
        <v>27</v>
      </c>
      <c r="F11" s="40"/>
      <c r="G11" s="38" t="n">
        <f aca="false">MAX(H10,N(F11))</f>
        <v>0.583333333333333</v>
      </c>
      <c r="H11" s="39" t="n">
        <f aca="false">G11+D11/1440</f>
        <v>0.595833333333333</v>
      </c>
      <c r="I11" s="38" t="n">
        <f aca="false">MAX(J10,N(F11))</f>
        <v>0.619444444444445</v>
      </c>
      <c r="J11" s="38" t="n">
        <f aca="false">I11+E11/1440</f>
        <v>0.638194444444444</v>
      </c>
      <c r="K11" s="35" t="s">
        <v>390</v>
      </c>
      <c r="L11" s="5"/>
      <c r="M11" s="5"/>
    </row>
    <row r="12" customFormat="false" ht="15" hidden="false" customHeight="false" outlineLevel="0" collapsed="false">
      <c r="A12" s="34"/>
      <c r="B12" s="35" t="s">
        <v>382</v>
      </c>
      <c r="C12" s="34" t="s">
        <v>391</v>
      </c>
      <c r="D12" s="36" t="n">
        <f aca="false">INDEX(シーン見積!$AP$4:$AP$25,MATCH("16",シーン見積!$A$4:$A$25,0))*改訂スケジュール!$M$5</f>
        <v>0</v>
      </c>
      <c r="E12" s="36" t="n">
        <f aca="false">INDEX(シーン見積!$AQ$4:$AQ$25,MATCH("16",シーン見積!$A$4:$A$25,0))*改訂スケジュール!$M$5</f>
        <v>0</v>
      </c>
      <c r="F12" s="40"/>
      <c r="G12" s="38" t="n">
        <f aca="false">MAX(H11,N(F12))</f>
        <v>0.595833333333333</v>
      </c>
      <c r="H12" s="39" t="n">
        <f aca="false">G12+D12/1440</f>
        <v>0.595833333333333</v>
      </c>
      <c r="I12" s="38" t="n">
        <f aca="false">MAX(J11,N(F12))</f>
        <v>0.638194444444444</v>
      </c>
      <c r="J12" s="38" t="n">
        <f aca="false">I12+E12/1440</f>
        <v>0.638194444444444</v>
      </c>
      <c r="K12" s="35" t="s">
        <v>392</v>
      </c>
      <c r="L12" s="5"/>
      <c r="M12" s="5"/>
    </row>
    <row r="13" customFormat="false" ht="15" hidden="false" customHeight="false" outlineLevel="0" collapsed="false">
      <c r="A13" s="12"/>
      <c r="B13" s="8" t="s">
        <v>376</v>
      </c>
      <c r="C13" s="12" t="s">
        <v>393</v>
      </c>
      <c r="D13" s="17" t="n">
        <f aca="false">10*(1-改訂スケジュール!$M$5)</f>
        <v>10</v>
      </c>
      <c r="E13" s="17" t="n">
        <f aca="false">15*(1-改訂スケジュール!$M$5)</f>
        <v>15</v>
      </c>
      <c r="F13" s="5"/>
      <c r="G13" s="32" t="n">
        <f aca="false">MAX(H12,N(F13))</f>
        <v>0.595833333333333</v>
      </c>
      <c r="H13" s="33" t="n">
        <f aca="false">G13+D13/1440</f>
        <v>0.602777777777778</v>
      </c>
      <c r="I13" s="32" t="n">
        <f aca="false">MAX(J12,N(F13))</f>
        <v>0.638194444444444</v>
      </c>
      <c r="J13" s="32" t="n">
        <f aca="false">I13+E13/1440</f>
        <v>0.648611111111111</v>
      </c>
      <c r="K13" s="12" t="s">
        <v>394</v>
      </c>
      <c r="L13" s="5"/>
      <c r="M13" s="5"/>
    </row>
    <row r="14" customFormat="false" ht="15" hidden="false" customHeight="false" outlineLevel="0" collapsed="false">
      <c r="A14" s="12"/>
      <c r="B14" s="8" t="s">
        <v>379</v>
      </c>
      <c r="C14" s="8" t="s">
        <v>395</v>
      </c>
      <c r="D14" s="17" t="n">
        <f aca="false">係数!$B$23</f>
        <v>10</v>
      </c>
      <c r="E14" s="17" t="n">
        <f aca="false">係数!$B$23</f>
        <v>10</v>
      </c>
      <c r="F14" s="5"/>
      <c r="G14" s="32" t="n">
        <f aca="false">MAX(H13,N(F14))</f>
        <v>0.602777777777778</v>
      </c>
      <c r="H14" s="33" t="n">
        <f aca="false">G14+D14/1440</f>
        <v>0.609722222222222</v>
      </c>
      <c r="I14" s="32" t="n">
        <f aca="false">MAX(J13,N(F14))</f>
        <v>0.648611111111111</v>
      </c>
      <c r="J14" s="32" t="n">
        <f aca="false">I14+E14/1440</f>
        <v>0.655555555555556</v>
      </c>
      <c r="K14" s="8" t="s">
        <v>396</v>
      </c>
      <c r="L14" s="5"/>
      <c r="M14" s="5"/>
    </row>
    <row r="15" customFormat="false" ht="15" hidden="false" customHeight="false" outlineLevel="0" collapsed="false">
      <c r="A15" s="34"/>
      <c r="B15" s="35" t="s">
        <v>382</v>
      </c>
      <c r="C15" s="34" t="s">
        <v>397</v>
      </c>
      <c r="D15" s="36" t="n">
        <f aca="false">INDEX(シーン見積!$AP$4:$AP$25,MATCH("13",シーン見積!$A$4:$A$25,0))</f>
        <v>36</v>
      </c>
      <c r="E15" s="36" t="n">
        <f aca="false">INDEX(シーン見積!$AQ$4:$AQ$25,MATCH("13",シーン見積!$A$4:$A$25,0))</f>
        <v>53</v>
      </c>
      <c r="F15" s="40"/>
      <c r="G15" s="38" t="n">
        <f aca="false">MAX(H14,N(F15))</f>
        <v>0.609722222222222</v>
      </c>
      <c r="H15" s="39" t="n">
        <f aca="false">G15+D15/1440</f>
        <v>0.634722222222222</v>
      </c>
      <c r="I15" s="38" t="n">
        <f aca="false">MAX(J14,N(F15))</f>
        <v>0.655555555555556</v>
      </c>
      <c r="J15" s="38" t="n">
        <f aca="false">I15+E15/1440</f>
        <v>0.692361111111111</v>
      </c>
      <c r="K15" s="34"/>
      <c r="L15" s="5"/>
      <c r="M15" s="5"/>
    </row>
    <row r="16" customFormat="false" ht="15" hidden="false" customHeight="false" outlineLevel="0" collapsed="false">
      <c r="A16" s="12"/>
      <c r="B16" s="8" t="s">
        <v>379</v>
      </c>
      <c r="C16" s="12" t="s">
        <v>398</v>
      </c>
      <c r="D16" s="31" t="n">
        <v>5</v>
      </c>
      <c r="E16" s="31" t="n">
        <v>8</v>
      </c>
      <c r="F16" s="5"/>
      <c r="G16" s="32" t="n">
        <f aca="false">MAX(H15,N(F16))</f>
        <v>0.634722222222222</v>
      </c>
      <c r="H16" s="33" t="n">
        <f aca="false">G16+D16/1440</f>
        <v>0.638194444444444</v>
      </c>
      <c r="I16" s="32" t="n">
        <f aca="false">MAX(J15,N(F16))</f>
        <v>0.692361111111111</v>
      </c>
      <c r="J16" s="32" t="n">
        <f aca="false">I16+E16/1440</f>
        <v>0.697916666666667</v>
      </c>
      <c r="K16" s="12"/>
      <c r="L16" s="5"/>
      <c r="M16" s="5"/>
    </row>
    <row r="17" customFormat="false" ht="15" hidden="false" customHeight="false" outlineLevel="0" collapsed="false">
      <c r="A17" s="12"/>
      <c r="B17" s="8" t="s">
        <v>379</v>
      </c>
      <c r="C17" s="8" t="s">
        <v>399</v>
      </c>
      <c r="D17" s="17" t="n">
        <f aca="false">係数!$B$22</f>
        <v>15</v>
      </c>
      <c r="E17" s="17" t="n">
        <f aca="false">係数!$B$22</f>
        <v>15</v>
      </c>
      <c r="F17" s="5"/>
      <c r="G17" s="32" t="n">
        <f aca="false">MAX(H16,N(F17))</f>
        <v>0.638194444444444</v>
      </c>
      <c r="H17" s="33" t="n">
        <f aca="false">G17+D17/1440</f>
        <v>0.648611111111111</v>
      </c>
      <c r="I17" s="32" t="n">
        <f aca="false">MAX(J16,N(F17))</f>
        <v>0.697916666666667</v>
      </c>
      <c r="J17" s="32" t="n">
        <f aca="false">I17+E17/1440</f>
        <v>0.708333333333333</v>
      </c>
      <c r="K17" s="8" t="s">
        <v>400</v>
      </c>
      <c r="L17" s="5"/>
      <c r="M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customFormat="false" ht="15" hidden="false" customHeight="false" outlineLevel="0" collapsed="false">
      <c r="A19" s="15" t="s">
        <v>401</v>
      </c>
      <c r="B19" s="8" t="s">
        <v>376</v>
      </c>
      <c r="C19" s="8" t="s">
        <v>377</v>
      </c>
      <c r="D19" s="31" t="n">
        <v>0</v>
      </c>
      <c r="E19" s="31" t="n">
        <v>0</v>
      </c>
      <c r="F19" s="5"/>
      <c r="G19" s="32" t="n">
        <f aca="false">MAX(TIME(9,0,0),N(F19))</f>
        <v>0.375</v>
      </c>
      <c r="H19" s="33" t="n">
        <f aca="false">G19+D19/1440</f>
        <v>0.375</v>
      </c>
      <c r="I19" s="32" t="n">
        <f aca="false">MAX(TIME(9,0,0),N(F19))</f>
        <v>0.375</v>
      </c>
      <c r="J19" s="32" t="n">
        <f aca="false">I19+E19/1440</f>
        <v>0.375</v>
      </c>
      <c r="K19" s="12" t="s">
        <v>402</v>
      </c>
      <c r="L19" s="5"/>
      <c r="M19" s="5"/>
    </row>
    <row r="20" customFormat="false" ht="15" hidden="false" customHeight="false" outlineLevel="0" collapsed="false">
      <c r="A20" s="12"/>
      <c r="B20" s="8" t="s">
        <v>379</v>
      </c>
      <c r="C20" s="8" t="s">
        <v>403</v>
      </c>
      <c r="D20" s="17" t="n">
        <f aca="false">ROUNDUP((2*係数!$B$18+1*係数!$B$19)/係数!$B$20,0)</f>
        <v>13</v>
      </c>
      <c r="E20" s="17" t="n">
        <f aca="false">ROUNDUP((2*係数!$B$18+1*係数!$B$19)/係数!$B$20,0)</f>
        <v>13</v>
      </c>
      <c r="F20" s="5"/>
      <c r="G20" s="32" t="n">
        <f aca="false">MAX(H19,N(F20))</f>
        <v>0.375</v>
      </c>
      <c r="H20" s="33" t="n">
        <f aca="false">G20+D20/1440</f>
        <v>0.384027777777778</v>
      </c>
      <c r="I20" s="32" t="n">
        <f aca="false">MAX(J19,N(F20))</f>
        <v>0.375</v>
      </c>
      <c r="J20" s="32" t="n">
        <f aca="false">I20+E20/1440</f>
        <v>0.384027777777778</v>
      </c>
      <c r="K20" s="12"/>
      <c r="L20" s="5"/>
      <c r="M20" s="5"/>
    </row>
    <row r="21" customFormat="false" ht="15" hidden="false" customHeight="false" outlineLevel="0" collapsed="false">
      <c r="A21" s="34"/>
      <c r="B21" s="35" t="s">
        <v>382</v>
      </c>
      <c r="C21" s="35" t="s">
        <v>404</v>
      </c>
      <c r="D21" s="36" t="n">
        <f aca="false">SUMIFS(構図優先度!$K$12:$K$70,構図優先度!$A$12:$A$70,"5",構図優先度!$I$12:$I$70,1,構図優先度!$J$12:$J$70,1)</f>
        <v>23.4</v>
      </c>
      <c r="E21" s="36" t="n">
        <f aca="false">SUMIFS(構図優先度!$L$12:$L$70,構図優先度!$A$12:$A$70,"5",構図優先度!$I$12:$I$70,1,構図優先度!$J$12:$J$70,1)</f>
        <v>34</v>
      </c>
      <c r="F21" s="40"/>
      <c r="G21" s="38" t="n">
        <f aca="false">MAX(H20,N(F21))</f>
        <v>0.384027777777778</v>
      </c>
      <c r="H21" s="39" t="n">
        <f aca="false">G21+D21/1440</f>
        <v>0.400277777777778</v>
      </c>
      <c r="I21" s="38" t="n">
        <f aca="false">MAX(J20,N(F21))</f>
        <v>0.384027777777778</v>
      </c>
      <c r="J21" s="38" t="n">
        <f aca="false">I21+E21/1440</f>
        <v>0.407638888888889</v>
      </c>
      <c r="K21" s="34" t="s">
        <v>405</v>
      </c>
      <c r="L21" s="5"/>
      <c r="M21" s="5"/>
    </row>
    <row r="22" customFormat="false" ht="15" hidden="false" customHeight="false" outlineLevel="0" collapsed="false">
      <c r="A22" s="34"/>
      <c r="B22" s="35" t="s">
        <v>382</v>
      </c>
      <c r="C22" s="34" t="s">
        <v>406</v>
      </c>
      <c r="D22" s="36" t="n">
        <f aca="false">INDEX(シーン見積!$AP$4:$AP$25,MATCH("5",シーン見積!$A$4:$A$25,0))</f>
        <v>91</v>
      </c>
      <c r="E22" s="36" t="n">
        <f aca="false">INDEX(シーン見積!$AQ$4:$AQ$25,MATCH("5",シーン見積!$A$4:$A$25,0))</f>
        <v>133</v>
      </c>
      <c r="F22" s="37" t="n">
        <v>0.4375</v>
      </c>
      <c r="G22" s="38" t="n">
        <f aca="false">MAX(H21,N(F22))</f>
        <v>0.4375</v>
      </c>
      <c r="H22" s="39" t="n">
        <f aca="false">G22+D22/1440</f>
        <v>0.500694444444444</v>
      </c>
      <c r="I22" s="38" t="n">
        <f aca="false">MAX(J21,N(F22))</f>
        <v>0.4375</v>
      </c>
      <c r="J22" s="38" t="n">
        <f aca="false">I22+E22/1440</f>
        <v>0.529861111111111</v>
      </c>
      <c r="K22" s="35" t="s">
        <v>407</v>
      </c>
      <c r="L22" s="5"/>
      <c r="M22" s="5"/>
    </row>
    <row r="23" customFormat="false" ht="15" hidden="false" customHeight="false" outlineLevel="0" collapsed="false">
      <c r="A23" s="12"/>
      <c r="B23" s="8" t="s">
        <v>385</v>
      </c>
      <c r="C23" s="12" t="s">
        <v>408</v>
      </c>
      <c r="D23" s="17" t="n">
        <f aca="false">INDEX(移動!$C$4:$C$12,MATCH("その場転換",移動!$A$4:$A$12,0))</f>
        <v>10</v>
      </c>
      <c r="E23" s="17" t="n">
        <f aca="false">INDEX(移動!$D$4:$D$12,MATCH("その場転換",移動!$A$4:$A$12,0))</f>
        <v>15</v>
      </c>
      <c r="F23" s="5"/>
      <c r="G23" s="32" t="n">
        <f aca="false">MAX(H22,N(F23))</f>
        <v>0.500694444444444</v>
      </c>
      <c r="H23" s="33" t="n">
        <f aca="false">G23+D23/1440</f>
        <v>0.507638888888889</v>
      </c>
      <c r="I23" s="32" t="n">
        <f aca="false">MAX(J22,N(F23))</f>
        <v>0.529861111111111</v>
      </c>
      <c r="J23" s="32" t="n">
        <f aca="false">I23+E23/1440</f>
        <v>0.540277777777778</v>
      </c>
      <c r="K23" s="12"/>
      <c r="L23" s="5"/>
      <c r="M23" s="5"/>
    </row>
    <row r="24" customFormat="false" ht="15" hidden="false" customHeight="false" outlineLevel="0" collapsed="false">
      <c r="A24" s="34"/>
      <c r="B24" s="35" t="s">
        <v>382</v>
      </c>
      <c r="C24" s="34" t="s">
        <v>409</v>
      </c>
      <c r="D24" s="36" t="n">
        <f aca="false">INDEX(シーン見積!$AP$4:$AP$25,MATCH("6",シーン見積!$A$4:$A$25,0))</f>
        <v>25</v>
      </c>
      <c r="E24" s="36" t="n">
        <f aca="false">INDEX(シーン見積!$AQ$4:$AQ$25,MATCH("6",シーン見積!$A$4:$A$25,0))</f>
        <v>36</v>
      </c>
      <c r="F24" s="40"/>
      <c r="G24" s="38" t="n">
        <f aca="false">MAX(H23,N(F24))</f>
        <v>0.507638888888889</v>
      </c>
      <c r="H24" s="39" t="n">
        <f aca="false">G24+D24/1440</f>
        <v>0.525</v>
      </c>
      <c r="I24" s="38" t="n">
        <f aca="false">MAX(J23,N(F24))</f>
        <v>0.540277777777778</v>
      </c>
      <c r="J24" s="38" t="n">
        <f aca="false">I24+E24/1440</f>
        <v>0.565277777777778</v>
      </c>
      <c r="K24" s="34"/>
      <c r="L24" s="5"/>
      <c r="M24" s="5"/>
    </row>
    <row r="25" customFormat="false" ht="15" hidden="false" customHeight="false" outlineLevel="0" collapsed="false">
      <c r="A25" s="12"/>
      <c r="B25" s="8" t="s">
        <v>379</v>
      </c>
      <c r="C25" s="8" t="s">
        <v>410</v>
      </c>
      <c r="D25" s="17" t="n">
        <f aca="false">係数!$B$23</f>
        <v>10</v>
      </c>
      <c r="E25" s="17" t="n">
        <f aca="false">係数!$B$23</f>
        <v>10</v>
      </c>
      <c r="F25" s="5"/>
      <c r="G25" s="32" t="n">
        <f aca="false">MAX(H24,N(F25))</f>
        <v>0.525</v>
      </c>
      <c r="H25" s="33" t="n">
        <f aca="false">G25+D25/1440</f>
        <v>0.531944444444444</v>
      </c>
      <c r="I25" s="32" t="n">
        <f aca="false">MAX(J24,N(F25))</f>
        <v>0.565277777777778</v>
      </c>
      <c r="J25" s="32" t="n">
        <f aca="false">I25+E25/1440</f>
        <v>0.572222222222222</v>
      </c>
      <c r="K25" s="8" t="s">
        <v>411</v>
      </c>
      <c r="L25" s="5"/>
      <c r="M25" s="5"/>
    </row>
    <row r="26" customFormat="false" ht="15" hidden="false" customHeight="false" outlineLevel="0" collapsed="false">
      <c r="A26" s="12"/>
      <c r="B26" s="8" t="s">
        <v>376</v>
      </c>
      <c r="C26" s="8" t="s">
        <v>388</v>
      </c>
      <c r="D26" s="17" t="n">
        <f aca="false">係数!$B$21</f>
        <v>50</v>
      </c>
      <c r="E26" s="17" t="n">
        <f aca="false">係数!$B$21</f>
        <v>50</v>
      </c>
      <c r="F26" s="5"/>
      <c r="G26" s="32" t="n">
        <f aca="false">MAX(H25,N(F26))</f>
        <v>0.531944444444444</v>
      </c>
      <c r="H26" s="33" t="n">
        <f aca="false">G26+D26/1440</f>
        <v>0.566666666666667</v>
      </c>
      <c r="I26" s="32" t="n">
        <f aca="false">MAX(J25,N(F26))</f>
        <v>0.572222222222222</v>
      </c>
      <c r="J26" s="32" t="n">
        <f aca="false">I26+E26/1440</f>
        <v>0.606944444444444</v>
      </c>
      <c r="K26" s="12"/>
      <c r="L26" s="5"/>
      <c r="M26" s="5"/>
    </row>
    <row r="27" customFormat="false" ht="15" hidden="false" customHeight="false" outlineLevel="0" collapsed="false">
      <c r="A27" s="34"/>
      <c r="B27" s="35" t="s">
        <v>382</v>
      </c>
      <c r="C27" s="34" t="s">
        <v>412</v>
      </c>
      <c r="D27" s="36" t="n">
        <f aca="false">INDEX(シーン見積!$AP$4:$AP$25,MATCH("8",シーン見積!$A$4:$A$25,0))</f>
        <v>22</v>
      </c>
      <c r="E27" s="36" t="n">
        <f aca="false">INDEX(シーン見積!$AQ$4:$AQ$25,MATCH("8",シーン見積!$A$4:$A$25,0))</f>
        <v>33</v>
      </c>
      <c r="F27" s="40"/>
      <c r="G27" s="38" t="n">
        <f aca="false">MAX(H26,N(F27))</f>
        <v>0.566666666666667</v>
      </c>
      <c r="H27" s="39" t="n">
        <f aca="false">G27+D27/1440</f>
        <v>0.581944444444445</v>
      </c>
      <c r="I27" s="38" t="n">
        <f aca="false">MAX(J26,N(F27))</f>
        <v>0.606944444444444</v>
      </c>
      <c r="J27" s="38" t="n">
        <f aca="false">I27+E27/1440</f>
        <v>0.629861111111111</v>
      </c>
      <c r="K27" s="34"/>
      <c r="L27" s="5"/>
      <c r="M27" s="5"/>
    </row>
    <row r="28" customFormat="false" ht="15" hidden="false" customHeight="false" outlineLevel="0" collapsed="false">
      <c r="A28" s="12"/>
      <c r="B28" s="8" t="s">
        <v>385</v>
      </c>
      <c r="C28" s="12" t="s">
        <v>413</v>
      </c>
      <c r="D28" s="17" t="n">
        <f aca="false">INDEX(移動!$C$4:$C$12,MATCH("同一フロア",移動!$A$4:$A$12,0))</f>
        <v>8</v>
      </c>
      <c r="E28" s="17" t="n">
        <f aca="false">INDEX(移動!$D$4:$D$12,MATCH("同一フロア",移動!$A$4:$A$12,0))</f>
        <v>12</v>
      </c>
      <c r="F28" s="5"/>
      <c r="G28" s="32" t="n">
        <f aca="false">MAX(H27,N(F28))</f>
        <v>0.581944444444445</v>
      </c>
      <c r="H28" s="33" t="n">
        <f aca="false">G28+D28/1440</f>
        <v>0.5875</v>
      </c>
      <c r="I28" s="32" t="n">
        <f aca="false">MAX(J27,N(F28))</f>
        <v>0.629861111111111</v>
      </c>
      <c r="J28" s="32" t="n">
        <f aca="false">I28+E28/1440</f>
        <v>0.638194444444444</v>
      </c>
      <c r="K28" s="12"/>
      <c r="L28" s="5"/>
      <c r="M28" s="5"/>
    </row>
    <row r="29" customFormat="false" ht="15" hidden="false" customHeight="false" outlineLevel="0" collapsed="false">
      <c r="A29" s="34"/>
      <c r="B29" s="35" t="s">
        <v>382</v>
      </c>
      <c r="C29" s="34" t="s">
        <v>414</v>
      </c>
      <c r="D29" s="36" t="n">
        <f aca="false">INDEX(シーン見積!$AP$4:$AP$25,MATCH("9",シーン見積!$A$4:$A$25,0))</f>
        <v>42</v>
      </c>
      <c r="E29" s="36" t="n">
        <f aca="false">INDEX(シーン見積!$AQ$4:$AQ$25,MATCH("9",シーン見積!$A$4:$A$25,0))</f>
        <v>68</v>
      </c>
      <c r="F29" s="40"/>
      <c r="G29" s="38" t="n">
        <f aca="false">MAX(H28,N(F29))</f>
        <v>0.5875</v>
      </c>
      <c r="H29" s="39" t="n">
        <f aca="false">G29+D29/1440</f>
        <v>0.616666666666667</v>
      </c>
      <c r="I29" s="38" t="n">
        <f aca="false">MAX(J28,N(F29))</f>
        <v>0.638194444444444</v>
      </c>
      <c r="J29" s="38" t="n">
        <f aca="false">I29+E29/1440</f>
        <v>0.685416666666667</v>
      </c>
      <c r="K29" s="35" t="s">
        <v>415</v>
      </c>
      <c r="L29" s="5"/>
      <c r="M29" s="5"/>
    </row>
    <row r="30" customFormat="false" ht="15" hidden="false" customHeight="false" outlineLevel="0" collapsed="false">
      <c r="A30" s="12"/>
      <c r="B30" s="8" t="s">
        <v>385</v>
      </c>
      <c r="C30" s="12" t="s">
        <v>416</v>
      </c>
      <c r="D30" s="17" t="n">
        <f aca="false">INDEX(移動!$C$4:$C$12,MATCH("同一フロア",移動!$A$4:$A$12,0))</f>
        <v>8</v>
      </c>
      <c r="E30" s="17" t="n">
        <f aca="false">INDEX(移動!$D$4:$D$12,MATCH("同一フロア",移動!$A$4:$A$12,0))</f>
        <v>12</v>
      </c>
      <c r="F30" s="5"/>
      <c r="G30" s="32" t="n">
        <f aca="false">MAX(H29,N(F30))</f>
        <v>0.616666666666667</v>
      </c>
      <c r="H30" s="33" t="n">
        <f aca="false">G30+D30/1440</f>
        <v>0.622222222222222</v>
      </c>
      <c r="I30" s="32" t="n">
        <f aca="false">MAX(J29,N(F30))</f>
        <v>0.685416666666667</v>
      </c>
      <c r="J30" s="32" t="n">
        <f aca="false">I30+E30/1440</f>
        <v>0.69375</v>
      </c>
      <c r="K30" s="12"/>
      <c r="L30" s="5"/>
      <c r="M30" s="5"/>
    </row>
    <row r="31" customFormat="false" ht="15" hidden="false" customHeight="false" outlineLevel="0" collapsed="false">
      <c r="A31" s="34"/>
      <c r="B31" s="35" t="s">
        <v>382</v>
      </c>
      <c r="C31" s="34" t="s">
        <v>417</v>
      </c>
      <c r="D31" s="36" t="n">
        <f aca="false">INDEX(シーン見積!$AP$4:$AP$25,MATCH("10",シーン見積!$A$4:$A$25,0))</f>
        <v>26</v>
      </c>
      <c r="E31" s="36" t="n">
        <f aca="false">INDEX(シーン見積!$AQ$4:$AQ$25,MATCH("10",シーン見積!$A$4:$A$25,0))</f>
        <v>38</v>
      </c>
      <c r="F31" s="40"/>
      <c r="G31" s="38" t="n">
        <f aca="false">MAX(H30,N(F31))</f>
        <v>0.622222222222222</v>
      </c>
      <c r="H31" s="39" t="n">
        <f aca="false">G31+D31/1440</f>
        <v>0.640277777777778</v>
      </c>
      <c r="I31" s="38" t="n">
        <f aca="false">MAX(J30,N(F31))</f>
        <v>0.69375</v>
      </c>
      <c r="J31" s="38" t="n">
        <f aca="false">I31+E31/1440</f>
        <v>0.720138888888889</v>
      </c>
      <c r="K31" s="34" t="s">
        <v>418</v>
      </c>
      <c r="L31" s="5"/>
      <c r="M31" s="5"/>
    </row>
    <row r="32" customFormat="false" ht="15" hidden="false" customHeight="false" outlineLevel="0" collapsed="false">
      <c r="A32" s="12"/>
      <c r="B32" s="8" t="s">
        <v>385</v>
      </c>
      <c r="C32" s="12" t="s">
        <v>419</v>
      </c>
      <c r="D32" s="17" t="n">
        <f aca="false">INDEX(移動!$C$4:$C$12,MATCH("その場転換",移動!$A$4:$A$12,0))</f>
        <v>10</v>
      </c>
      <c r="E32" s="17" t="n">
        <f aca="false">INDEX(移動!$D$4:$D$12,MATCH("その場転換",移動!$A$4:$A$12,0))</f>
        <v>15</v>
      </c>
      <c r="F32" s="5"/>
      <c r="G32" s="32" t="n">
        <f aca="false">MAX(H31,N(F32))</f>
        <v>0.640277777777778</v>
      </c>
      <c r="H32" s="33" t="n">
        <f aca="false">G32+D32/1440</f>
        <v>0.647222222222222</v>
      </c>
      <c r="I32" s="32" t="n">
        <f aca="false">MAX(J31,N(F32))</f>
        <v>0.720138888888889</v>
      </c>
      <c r="J32" s="32" t="n">
        <f aca="false">I32+E32/1440</f>
        <v>0.730555555555556</v>
      </c>
      <c r="K32" s="12"/>
      <c r="L32" s="5"/>
      <c r="M32" s="5"/>
    </row>
    <row r="33" customFormat="false" ht="15" hidden="false" customHeight="false" outlineLevel="0" collapsed="false">
      <c r="A33" s="34"/>
      <c r="B33" s="35" t="s">
        <v>382</v>
      </c>
      <c r="C33" s="34" t="s">
        <v>420</v>
      </c>
      <c r="D33" s="36" t="n">
        <f aca="false">INDEX(シーン見積!$AP$4:$AP$25,MATCH("18",シーン見積!$A$4:$A$25,0))</f>
        <v>55</v>
      </c>
      <c r="E33" s="36" t="n">
        <f aca="false">INDEX(シーン見積!$AQ$4:$AQ$25,MATCH("18",シーン見積!$A$4:$A$25,0))</f>
        <v>80</v>
      </c>
      <c r="F33" s="40"/>
      <c r="G33" s="38" t="n">
        <f aca="false">MAX(H32,N(F33))</f>
        <v>0.647222222222222</v>
      </c>
      <c r="H33" s="39" t="n">
        <f aca="false">G33+D33/1440</f>
        <v>0.685416666666667</v>
      </c>
      <c r="I33" s="38" t="n">
        <f aca="false">MAX(J32,N(F33))</f>
        <v>0.730555555555556</v>
      </c>
      <c r="J33" s="38" t="n">
        <f aca="false">I33+E33/1440</f>
        <v>0.786111111111111</v>
      </c>
      <c r="K33" s="35" t="s">
        <v>421</v>
      </c>
      <c r="L33" s="5"/>
      <c r="M33" s="5"/>
    </row>
    <row r="34" customFormat="false" ht="15" hidden="false" customHeight="false" outlineLevel="0" collapsed="false">
      <c r="A34" s="12"/>
      <c r="B34" s="8" t="s">
        <v>379</v>
      </c>
      <c r="C34" s="8" t="s">
        <v>399</v>
      </c>
      <c r="D34" s="17" t="n">
        <f aca="false">係数!$B$22</f>
        <v>15</v>
      </c>
      <c r="E34" s="17" t="n">
        <f aca="false">係数!$B$22</f>
        <v>15</v>
      </c>
      <c r="F34" s="5"/>
      <c r="G34" s="32" t="n">
        <f aca="false">MAX(H33,N(F34))</f>
        <v>0.685416666666667</v>
      </c>
      <c r="H34" s="33" t="n">
        <f aca="false">G34+D34/1440</f>
        <v>0.695833333333333</v>
      </c>
      <c r="I34" s="32" t="n">
        <f aca="false">MAX(J33,N(F34))</f>
        <v>0.786111111111111</v>
      </c>
      <c r="J34" s="32" t="n">
        <f aca="false">I34+E34/1440</f>
        <v>0.796527777777778</v>
      </c>
      <c r="K34" s="8" t="s">
        <v>422</v>
      </c>
      <c r="L34" s="5"/>
      <c r="M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customFormat="false" ht="15" hidden="false" customHeight="false" outlineLevel="0" collapsed="false">
      <c r="A36" s="15" t="s">
        <v>423</v>
      </c>
      <c r="B36" s="8" t="s">
        <v>376</v>
      </c>
      <c r="C36" s="8" t="s">
        <v>377</v>
      </c>
      <c r="D36" s="31" t="n">
        <v>0</v>
      </c>
      <c r="E36" s="31" t="n">
        <v>0</v>
      </c>
      <c r="F36" s="5"/>
      <c r="G36" s="32" t="n">
        <f aca="false">MAX(TIME(7,30,0),N(F36))</f>
        <v>0.3125</v>
      </c>
      <c r="H36" s="33" t="n">
        <f aca="false">G36+D36/1440</f>
        <v>0.3125</v>
      </c>
      <c r="I36" s="32" t="n">
        <f aca="false">MAX(TIME(7,30,0),N(F36))</f>
        <v>0.3125</v>
      </c>
      <c r="J36" s="32" t="n">
        <f aca="false">I36+E36/1440</f>
        <v>0.3125</v>
      </c>
      <c r="K36" s="12"/>
      <c r="L36" s="5"/>
      <c r="M36" s="5"/>
    </row>
    <row r="37" customFormat="false" ht="15" hidden="false" customHeight="false" outlineLevel="0" collapsed="false">
      <c r="A37" s="12"/>
      <c r="B37" s="8" t="s">
        <v>379</v>
      </c>
      <c r="C37" s="8" t="s">
        <v>424</v>
      </c>
      <c r="D37" s="17" t="n">
        <f aca="false">ROUNDUP((3*係数!$B$18+0*係数!$B$19)/係数!$B$20,0)</f>
        <v>15</v>
      </c>
      <c r="E37" s="17" t="n">
        <f aca="false">ROUNDUP((3*係数!$B$18+0*係数!$B$19)/係数!$B$20,0)</f>
        <v>15</v>
      </c>
      <c r="F37" s="5"/>
      <c r="G37" s="32" t="n">
        <f aca="false">MAX(H36,N(F37))</f>
        <v>0.3125</v>
      </c>
      <c r="H37" s="33" t="n">
        <f aca="false">G37+D37/1440</f>
        <v>0.322916666666667</v>
      </c>
      <c r="I37" s="32" t="n">
        <f aca="false">MAX(J36,N(F37))</f>
        <v>0.3125</v>
      </c>
      <c r="J37" s="32" t="n">
        <f aca="false">I37+E37/1440</f>
        <v>0.322916666666667</v>
      </c>
      <c r="K37" s="8" t="s">
        <v>425</v>
      </c>
      <c r="L37" s="5"/>
      <c r="M37" s="5"/>
    </row>
    <row r="38" customFormat="false" ht="15" hidden="false" customHeight="false" outlineLevel="0" collapsed="false">
      <c r="A38" s="34"/>
      <c r="B38" s="35" t="s">
        <v>382</v>
      </c>
      <c r="C38" s="34" t="s">
        <v>426</v>
      </c>
      <c r="D38" s="36" t="n">
        <f aca="false">INDEX(シーン見積!$AP$4:$AP$25,MATCH("15",シーン見積!$A$4:$A$25,0))</f>
        <v>158</v>
      </c>
      <c r="E38" s="36" t="n">
        <f aca="false">INDEX(シーン見積!$AQ$4:$AQ$25,MATCH("15",シーン見積!$A$4:$A$25,0))</f>
        <v>232</v>
      </c>
      <c r="F38" s="37" t="n">
        <v>0.333333333333333</v>
      </c>
      <c r="G38" s="38" t="n">
        <f aca="false">MAX(H37,N(F38))</f>
        <v>0.333333333333333</v>
      </c>
      <c r="H38" s="39" t="n">
        <f aca="false">G38+D38/1440</f>
        <v>0.443055555555556</v>
      </c>
      <c r="I38" s="38" t="n">
        <f aca="false">MAX(J37,N(F38))</f>
        <v>0.333333333333333</v>
      </c>
      <c r="J38" s="38" t="n">
        <f aca="false">I38+E38/1440</f>
        <v>0.494444444444444</v>
      </c>
      <c r="K38" s="35" t="s">
        <v>427</v>
      </c>
      <c r="L38" s="5"/>
      <c r="M38" s="5"/>
    </row>
    <row r="39" customFormat="false" ht="15" hidden="false" customHeight="false" outlineLevel="0" collapsed="false">
      <c r="A39" s="12"/>
      <c r="B39" s="8" t="s">
        <v>385</v>
      </c>
      <c r="C39" s="12" t="s">
        <v>428</v>
      </c>
      <c r="D39" s="17" t="n">
        <f aca="false">INDEX(移動!$C$4:$C$12,MATCH("校舎↔体育館",移動!$A$4:$A$12,0))</f>
        <v>15</v>
      </c>
      <c r="E39" s="17" t="n">
        <f aca="false">INDEX(移動!$D$4:$D$12,MATCH("校舎↔体育館",移動!$A$4:$A$12,0))</f>
        <v>25</v>
      </c>
      <c r="F39" s="5"/>
      <c r="G39" s="32" t="n">
        <f aca="false">MAX(H38,N(F39))</f>
        <v>0.443055555555556</v>
      </c>
      <c r="H39" s="33" t="n">
        <f aca="false">G39+D39/1440</f>
        <v>0.453472222222222</v>
      </c>
      <c r="I39" s="32" t="n">
        <f aca="false">MAX(J38,N(F39))</f>
        <v>0.494444444444444</v>
      </c>
      <c r="J39" s="32" t="n">
        <f aca="false">I39+E39/1440</f>
        <v>0.511805555555556</v>
      </c>
      <c r="K39" s="12"/>
      <c r="L39" s="5"/>
      <c r="M39" s="5"/>
    </row>
    <row r="40" customFormat="false" ht="15" hidden="false" customHeight="false" outlineLevel="0" collapsed="false">
      <c r="A40" s="34"/>
      <c r="B40" s="35" t="s">
        <v>382</v>
      </c>
      <c r="C40" s="34" t="s">
        <v>429</v>
      </c>
      <c r="D40" s="36" t="n">
        <f aca="false">INDEX(シーン見積!$AP$4:$AP$25,MATCH("12",シーン見積!$A$4:$A$25,0))</f>
        <v>35</v>
      </c>
      <c r="E40" s="36" t="n">
        <f aca="false">INDEX(シーン見積!$AQ$4:$AQ$25,MATCH("12",シーン見積!$A$4:$A$25,0))</f>
        <v>51</v>
      </c>
      <c r="F40" s="40"/>
      <c r="G40" s="38" t="n">
        <f aca="false">MAX(H39,N(F40))</f>
        <v>0.453472222222222</v>
      </c>
      <c r="H40" s="39" t="n">
        <f aca="false">G40+D40/1440</f>
        <v>0.477777777777778</v>
      </c>
      <c r="I40" s="38" t="n">
        <f aca="false">MAX(J39,N(F40))</f>
        <v>0.511805555555556</v>
      </c>
      <c r="J40" s="38" t="n">
        <f aca="false">I40+E40/1440</f>
        <v>0.547222222222222</v>
      </c>
      <c r="K40" s="34"/>
      <c r="L40" s="5"/>
      <c r="M40" s="5"/>
    </row>
    <row r="41" customFormat="false" ht="15" hidden="false" customHeight="false" outlineLevel="0" collapsed="false">
      <c r="A41" s="12"/>
      <c r="B41" s="8" t="s">
        <v>385</v>
      </c>
      <c r="C41" s="12" t="s">
        <v>430</v>
      </c>
      <c r="D41" s="17" t="n">
        <f aca="false">INDEX(移動!$C$4:$C$12,MATCH("同一フロア",移動!$A$4:$A$12,0))</f>
        <v>8</v>
      </c>
      <c r="E41" s="17" t="n">
        <f aca="false">INDEX(移動!$D$4:$D$12,MATCH("同一フロア",移動!$A$4:$A$12,0))</f>
        <v>12</v>
      </c>
      <c r="F41" s="5"/>
      <c r="G41" s="32" t="n">
        <f aca="false">MAX(H40,N(F41))</f>
        <v>0.477777777777778</v>
      </c>
      <c r="H41" s="33" t="n">
        <f aca="false">G41+D41/1440</f>
        <v>0.483333333333333</v>
      </c>
      <c r="I41" s="32" t="n">
        <f aca="false">MAX(J40,N(F41))</f>
        <v>0.547222222222222</v>
      </c>
      <c r="J41" s="32" t="n">
        <f aca="false">I41+E41/1440</f>
        <v>0.555555555555556</v>
      </c>
      <c r="K41" s="12"/>
      <c r="L41" s="5"/>
      <c r="M41" s="5"/>
    </row>
    <row r="42" customFormat="false" ht="15" hidden="false" customHeight="false" outlineLevel="0" collapsed="false">
      <c r="A42" s="34"/>
      <c r="B42" s="35" t="s">
        <v>382</v>
      </c>
      <c r="C42" s="34" t="s">
        <v>431</v>
      </c>
      <c r="D42" s="36" t="n">
        <f aca="false">INDEX(シーン見積!$AP$4:$AP$25,MATCH("14",シーン見積!$A$4:$A$25,0))</f>
        <v>10</v>
      </c>
      <c r="E42" s="36" t="n">
        <f aca="false">INDEX(シーン見積!$AQ$4:$AQ$25,MATCH("14",シーン見積!$A$4:$A$25,0))</f>
        <v>16</v>
      </c>
      <c r="F42" s="40"/>
      <c r="G42" s="38" t="n">
        <f aca="false">MAX(H41,N(F42))</f>
        <v>0.483333333333333</v>
      </c>
      <c r="H42" s="39" t="n">
        <f aca="false">G42+D42/1440</f>
        <v>0.490277777777778</v>
      </c>
      <c r="I42" s="38" t="n">
        <f aca="false">MAX(J41,N(F42))</f>
        <v>0.555555555555556</v>
      </c>
      <c r="J42" s="38" t="n">
        <f aca="false">I42+E42/1440</f>
        <v>0.566666666666667</v>
      </c>
      <c r="K42" s="35" t="s">
        <v>432</v>
      </c>
      <c r="L42" s="5"/>
      <c r="M42" s="5"/>
    </row>
    <row r="43" customFormat="false" ht="15" hidden="false" customHeight="false" outlineLevel="0" collapsed="false">
      <c r="A43" s="12"/>
      <c r="B43" s="8" t="s">
        <v>376</v>
      </c>
      <c r="C43" s="8" t="s">
        <v>388</v>
      </c>
      <c r="D43" s="17" t="n">
        <f aca="false">係数!$B$21</f>
        <v>50</v>
      </c>
      <c r="E43" s="17" t="n">
        <f aca="false">係数!$B$21</f>
        <v>50</v>
      </c>
      <c r="F43" s="5"/>
      <c r="G43" s="32" t="n">
        <f aca="false">MAX(H42,N(F43))</f>
        <v>0.490277777777778</v>
      </c>
      <c r="H43" s="33" t="n">
        <f aca="false">G43+D43/1440</f>
        <v>0.525</v>
      </c>
      <c r="I43" s="32" t="n">
        <f aca="false">MAX(J42,N(F43))</f>
        <v>0.566666666666667</v>
      </c>
      <c r="J43" s="32" t="n">
        <f aca="false">I43+E43/1440</f>
        <v>0.601388888888889</v>
      </c>
      <c r="K43" s="8" t="s">
        <v>433</v>
      </c>
      <c r="L43" s="5"/>
      <c r="M43" s="5"/>
    </row>
    <row r="44" customFormat="false" ht="15" hidden="false" customHeight="false" outlineLevel="0" collapsed="false">
      <c r="A44" s="34"/>
      <c r="B44" s="35" t="s">
        <v>382</v>
      </c>
      <c r="C44" s="34" t="s">
        <v>434</v>
      </c>
      <c r="D44" s="36" t="n">
        <f aca="false">INDEX(シーン見積!$AP$4:$AP$25,MATCH("11",シーン見積!$A$4:$A$25,0))</f>
        <v>94</v>
      </c>
      <c r="E44" s="36" t="n">
        <f aca="false">INDEX(シーン見積!$AQ$4:$AQ$25,MATCH("11",シーン見積!$A$4:$A$25,0))</f>
        <v>136</v>
      </c>
      <c r="F44" s="40"/>
      <c r="G44" s="38" t="n">
        <f aca="false">MAX(H43,N(F44))</f>
        <v>0.525</v>
      </c>
      <c r="H44" s="39" t="n">
        <f aca="false">G44+D44/1440</f>
        <v>0.590277777777778</v>
      </c>
      <c r="I44" s="38" t="n">
        <f aca="false">MAX(J43,N(F44))</f>
        <v>0.601388888888889</v>
      </c>
      <c r="J44" s="38" t="n">
        <f aca="false">I44+E44/1440</f>
        <v>0.695833333333333</v>
      </c>
      <c r="K44" s="34" t="s">
        <v>435</v>
      </c>
      <c r="L44" s="5"/>
      <c r="M44" s="5"/>
    </row>
    <row r="45" customFormat="false" ht="15" hidden="false" customHeight="false" outlineLevel="0" collapsed="false">
      <c r="A45" s="12"/>
      <c r="B45" s="8" t="s">
        <v>385</v>
      </c>
      <c r="C45" s="12" t="s">
        <v>436</v>
      </c>
      <c r="D45" s="17" t="n">
        <f aca="false">INDEX(移動!$C$4:$C$12,MATCH("校舎↔屋外",移動!$A$4:$A$12,0))*(1-改訂スケジュール!$M$5)</f>
        <v>15</v>
      </c>
      <c r="E45" s="17" t="n">
        <f aca="false">INDEX(移動!$D$4:$D$12,MATCH("校舎↔屋外",移動!$A$4:$A$12,0))*(1-改訂スケジュール!$M$5)</f>
        <v>20</v>
      </c>
      <c r="F45" s="5"/>
      <c r="G45" s="32" t="n">
        <f aca="false">MAX(H44,N(F45))</f>
        <v>0.590277777777778</v>
      </c>
      <c r="H45" s="33" t="n">
        <f aca="false">G45+D45/1440</f>
        <v>0.600694444444444</v>
      </c>
      <c r="I45" s="32" t="n">
        <f aca="false">MAX(J44,N(F45))</f>
        <v>0.695833333333333</v>
      </c>
      <c r="J45" s="32" t="n">
        <f aca="false">I45+E45/1440</f>
        <v>0.709722222222222</v>
      </c>
      <c r="K45" s="12"/>
      <c r="L45" s="5"/>
      <c r="M45" s="5"/>
    </row>
    <row r="46" customFormat="false" ht="15" hidden="false" customHeight="false" outlineLevel="0" collapsed="false">
      <c r="A46" s="34"/>
      <c r="B46" s="35" t="s">
        <v>382</v>
      </c>
      <c r="C46" s="34" t="s">
        <v>437</v>
      </c>
      <c r="D46" s="36" t="n">
        <f aca="false">INDEX(シーン見積!$AP$4:$AP$25,MATCH("16",シーン見積!$A$4:$A$25,0))*(1-改訂スケジュール!$M$5)</f>
        <v>73</v>
      </c>
      <c r="E46" s="36" t="n">
        <f aca="false">INDEX(シーン見積!$AQ$4:$AQ$25,MATCH("16",シーン見積!$A$4:$A$25,0))*(1-改訂スケジュール!$M$5)</f>
        <v>106</v>
      </c>
      <c r="F46" s="40"/>
      <c r="G46" s="38" t="n">
        <f aca="false">MAX(H45,N(F46))</f>
        <v>0.600694444444444</v>
      </c>
      <c r="H46" s="39" t="n">
        <f aca="false">G46+D46/1440</f>
        <v>0.651388888888889</v>
      </c>
      <c r="I46" s="38" t="n">
        <f aca="false">MAX(J45,N(F46))</f>
        <v>0.709722222222222</v>
      </c>
      <c r="J46" s="38" t="n">
        <f aca="false">I46+E46/1440</f>
        <v>0.783333333333333</v>
      </c>
      <c r="K46" s="34" t="s">
        <v>438</v>
      </c>
      <c r="L46" s="5"/>
      <c r="M46" s="5"/>
    </row>
    <row r="47" customFormat="false" ht="15" hidden="false" customHeight="false" outlineLevel="0" collapsed="false">
      <c r="A47" s="12"/>
      <c r="B47" s="8" t="s">
        <v>385</v>
      </c>
      <c r="C47" s="12" t="s">
        <v>439</v>
      </c>
      <c r="D47" s="17" t="n">
        <f aca="false">INDEX(移動!$C$4:$C$12,MATCH("校舎↔屋外",移動!$A$4:$A$12,0))</f>
        <v>15</v>
      </c>
      <c r="E47" s="17" t="n">
        <f aca="false">INDEX(移動!$D$4:$D$12,MATCH("校舎↔屋外",移動!$A$4:$A$12,0))</f>
        <v>20</v>
      </c>
      <c r="F47" s="5"/>
      <c r="G47" s="32" t="n">
        <f aca="false">MAX(H46,N(F47))</f>
        <v>0.651388888888889</v>
      </c>
      <c r="H47" s="33" t="n">
        <f aca="false">G47+D47/1440</f>
        <v>0.661805555555556</v>
      </c>
      <c r="I47" s="32" t="n">
        <f aca="false">MAX(J46,N(F47))</f>
        <v>0.783333333333333</v>
      </c>
      <c r="J47" s="32" t="n">
        <f aca="false">I47+E47/1440</f>
        <v>0.797222222222222</v>
      </c>
      <c r="K47" s="12"/>
      <c r="L47" s="5"/>
      <c r="M47" s="5"/>
    </row>
    <row r="48" customFormat="false" ht="15" hidden="false" customHeight="false" outlineLevel="0" collapsed="false">
      <c r="A48" s="34"/>
      <c r="B48" s="35" t="s">
        <v>382</v>
      </c>
      <c r="C48" s="34" t="s">
        <v>440</v>
      </c>
      <c r="D48" s="36" t="n">
        <f aca="false">INDEX(シーン見積!$AP$4:$AP$25,MATCH("19",シーン見積!$A$4:$A$25,0))</f>
        <v>61</v>
      </c>
      <c r="E48" s="36" t="n">
        <f aca="false">INDEX(シーン見積!$AQ$4:$AQ$25,MATCH("19",シーン見積!$A$4:$A$25,0))</f>
        <v>89</v>
      </c>
      <c r="F48" s="37" t="n">
        <v>0.635416666666667</v>
      </c>
      <c r="G48" s="38" t="n">
        <f aca="false">MAX(H47,N(F48))</f>
        <v>0.661805555555556</v>
      </c>
      <c r="H48" s="39" t="n">
        <f aca="false">G48+D48/1440</f>
        <v>0.704166666666667</v>
      </c>
      <c r="I48" s="38" t="n">
        <f aca="false">MAX(J47,N(F48))</f>
        <v>0.797222222222222</v>
      </c>
      <c r="J48" s="38" t="n">
        <f aca="false">I48+E48/1440</f>
        <v>0.859027777777778</v>
      </c>
      <c r="K48" s="35" t="s">
        <v>441</v>
      </c>
      <c r="L48" s="5"/>
      <c r="M48" s="5"/>
    </row>
    <row r="49" customFormat="false" ht="15" hidden="false" customHeight="false" outlineLevel="0" collapsed="false">
      <c r="A49" s="12"/>
      <c r="B49" s="8" t="s">
        <v>385</v>
      </c>
      <c r="C49" s="12" t="s">
        <v>442</v>
      </c>
      <c r="D49" s="17" t="n">
        <f aca="false">INDEX(移動!$C$4:$C$12,MATCH("校舎内別フロア",移動!$A$4:$A$12,0))</f>
        <v>12</v>
      </c>
      <c r="E49" s="17" t="n">
        <f aca="false">INDEX(移動!$D$4:$D$12,MATCH("校舎内別フロア",移動!$A$4:$A$12,0))</f>
        <v>18</v>
      </c>
      <c r="F49" s="5"/>
      <c r="G49" s="32" t="n">
        <f aca="false">MAX(H48,N(F49))</f>
        <v>0.704166666666667</v>
      </c>
      <c r="H49" s="33" t="n">
        <f aca="false">G49+D49/1440</f>
        <v>0.7125</v>
      </c>
      <c r="I49" s="32" t="n">
        <f aca="false">MAX(J48,N(F49))</f>
        <v>0.859027777777778</v>
      </c>
      <c r="J49" s="32" t="n">
        <f aca="false">I49+E49/1440</f>
        <v>0.871527777777778</v>
      </c>
      <c r="K49" s="12"/>
      <c r="L49" s="5"/>
      <c r="M49" s="5"/>
    </row>
    <row r="50" customFormat="false" ht="15" hidden="false" customHeight="false" outlineLevel="0" collapsed="false">
      <c r="A50" s="34"/>
      <c r="B50" s="35" t="s">
        <v>382</v>
      </c>
      <c r="C50" s="34" t="s">
        <v>443</v>
      </c>
      <c r="D50" s="36" t="n">
        <f aca="false">INDEX(シーン見積!$AP$4:$AP$25,MATCH("17",シーン見積!$A$4:$A$25,0))</f>
        <v>17</v>
      </c>
      <c r="E50" s="36" t="n">
        <f aca="false">INDEX(シーン見積!$AQ$4:$AQ$25,MATCH("17",シーン見積!$A$4:$A$25,0))</f>
        <v>25</v>
      </c>
      <c r="F50" s="41" t="n">
        <f aca="false">日没!$C$6-15/1440</f>
        <v>0.705555555555556</v>
      </c>
      <c r="G50" s="38" t="n">
        <f aca="false">MAX(H49,N(F50))</f>
        <v>0.7125</v>
      </c>
      <c r="H50" s="39" t="n">
        <f aca="false">G50+D50/1440</f>
        <v>0.724305555555556</v>
      </c>
      <c r="I50" s="38" t="n">
        <f aca="false">MAX(J49,N(F50))</f>
        <v>0.871527777777778</v>
      </c>
      <c r="J50" s="38" t="n">
        <f aca="false">I50+E50/1440</f>
        <v>0.888888888888889</v>
      </c>
      <c r="K50" s="35" t="s">
        <v>444</v>
      </c>
      <c r="L50" s="5"/>
      <c r="M50" s="5"/>
    </row>
    <row r="51" customFormat="fals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 customFormat="false" ht="15" hidden="false" customHeight="false" outlineLevel="0" collapsed="false">
      <c r="A52" s="15" t="s">
        <v>445</v>
      </c>
      <c r="B52" s="8" t="s">
        <v>376</v>
      </c>
      <c r="C52" s="8" t="s">
        <v>377</v>
      </c>
      <c r="D52" s="31" t="n">
        <v>0</v>
      </c>
      <c r="E52" s="31" t="n">
        <v>0</v>
      </c>
      <c r="F52" s="5"/>
      <c r="G52" s="32" t="n">
        <f aca="false">MAX(TIME(9,30,0),N(F52))</f>
        <v>0.395833333333333</v>
      </c>
      <c r="H52" s="33" t="n">
        <f aca="false">G52+D52/1440</f>
        <v>0.395833333333333</v>
      </c>
      <c r="I52" s="32" t="n">
        <f aca="false">MAX(TIME(9,30,0),N(F52))</f>
        <v>0.395833333333333</v>
      </c>
      <c r="J52" s="32" t="n">
        <f aca="false">I52+E52/1440</f>
        <v>0.395833333333333</v>
      </c>
      <c r="K52" s="8" t="s">
        <v>446</v>
      </c>
      <c r="L52" s="5"/>
      <c r="M52" s="5"/>
    </row>
    <row r="53" customFormat="false" ht="15" hidden="false" customHeight="false" outlineLevel="0" collapsed="false">
      <c r="A53" s="12"/>
      <c r="B53" s="8" t="s">
        <v>379</v>
      </c>
      <c r="C53" s="8" t="s">
        <v>447</v>
      </c>
      <c r="D53" s="17" t="n">
        <f aca="false">ROUNDUP((2*係数!$B$18+1*係数!$B$19)/係数!$B$20,0)</f>
        <v>13</v>
      </c>
      <c r="E53" s="17" t="n">
        <f aca="false">ROUNDUP((2*係数!$B$18+1*係数!$B$19)/係数!$B$20,0)</f>
        <v>13</v>
      </c>
      <c r="F53" s="5"/>
      <c r="G53" s="32" t="n">
        <f aca="false">MAX(H52,N(F53))</f>
        <v>0.395833333333333</v>
      </c>
      <c r="H53" s="33" t="n">
        <f aca="false">G53+D53/1440</f>
        <v>0.404861111111111</v>
      </c>
      <c r="I53" s="32" t="n">
        <f aca="false">MAX(J52,N(F53))</f>
        <v>0.395833333333333</v>
      </c>
      <c r="J53" s="32" t="n">
        <f aca="false">I53+E53/1440</f>
        <v>0.404861111111111</v>
      </c>
      <c r="K53" s="12"/>
      <c r="L53" s="5"/>
      <c r="M53" s="5"/>
    </row>
    <row r="54" customFormat="false" ht="15" hidden="false" customHeight="false" outlineLevel="0" collapsed="false">
      <c r="A54" s="34"/>
      <c r="B54" s="35" t="s">
        <v>382</v>
      </c>
      <c r="C54" s="34" t="s">
        <v>448</v>
      </c>
      <c r="D54" s="36" t="n">
        <f aca="false">INDEX(シーン見積!$AP$4:$AP$25,MATCH("2",シーン見積!$A$4:$A$25,0))</f>
        <v>159</v>
      </c>
      <c r="E54" s="36" t="n">
        <f aca="false">INDEX(シーン見積!$AQ$4:$AQ$25,MATCH("2",シーン見積!$A$4:$A$25,0))</f>
        <v>233</v>
      </c>
      <c r="F54" s="37" t="n">
        <v>0.416666666666667</v>
      </c>
      <c r="G54" s="38" t="n">
        <f aca="false">MAX(H53,N(F54))</f>
        <v>0.416666666666667</v>
      </c>
      <c r="H54" s="39" t="n">
        <f aca="false">G54+D54/1440</f>
        <v>0.527083333333333</v>
      </c>
      <c r="I54" s="38" t="n">
        <f aca="false">MAX(J53,N(F54))</f>
        <v>0.416666666666667</v>
      </c>
      <c r="J54" s="38" t="n">
        <f aca="false">I54+E54/1440</f>
        <v>0.578472222222222</v>
      </c>
      <c r="K54" s="35" t="s">
        <v>449</v>
      </c>
      <c r="L54" s="5"/>
      <c r="M54" s="5"/>
    </row>
    <row r="55" customFormat="false" ht="15" hidden="false" customHeight="false" outlineLevel="0" collapsed="false">
      <c r="A55" s="12"/>
      <c r="B55" s="8" t="s">
        <v>385</v>
      </c>
      <c r="C55" s="12" t="s">
        <v>450</v>
      </c>
      <c r="D55" s="17" t="n">
        <f aca="false">INDEX(移動!$C$4:$C$12,MATCH("同一場所",移動!$A$4:$A$12,0))</f>
        <v>3</v>
      </c>
      <c r="E55" s="17" t="n">
        <f aca="false">INDEX(移動!$D$4:$D$12,MATCH("同一場所",移動!$A$4:$A$12,0))</f>
        <v>5</v>
      </c>
      <c r="F55" s="5"/>
      <c r="G55" s="32" t="n">
        <f aca="false">MAX(H54,N(F55))</f>
        <v>0.527083333333333</v>
      </c>
      <c r="H55" s="33" t="n">
        <f aca="false">G55+D55/1440</f>
        <v>0.529166666666667</v>
      </c>
      <c r="I55" s="32" t="n">
        <f aca="false">MAX(J54,N(F55))</f>
        <v>0.578472222222222</v>
      </c>
      <c r="J55" s="32" t="n">
        <f aca="false">I55+E55/1440</f>
        <v>0.581944444444445</v>
      </c>
      <c r="K55" s="12"/>
      <c r="L55" s="5"/>
      <c r="M55" s="5"/>
    </row>
    <row r="56" customFormat="false" ht="15" hidden="false" customHeight="false" outlineLevel="0" collapsed="false">
      <c r="A56" s="34"/>
      <c r="B56" s="35" t="s">
        <v>382</v>
      </c>
      <c r="C56" s="34" t="s">
        <v>451</v>
      </c>
      <c r="D56" s="36" t="n">
        <f aca="false">INDEX(シーン見積!$AP$4:$AP$25,MATCH("20",シーン見積!$A$4:$A$25,0))</f>
        <v>38</v>
      </c>
      <c r="E56" s="36" t="n">
        <f aca="false">INDEX(シーン見積!$AQ$4:$AQ$25,MATCH("20",シーン見積!$A$4:$A$25,0))</f>
        <v>56</v>
      </c>
      <c r="F56" s="40"/>
      <c r="G56" s="38" t="n">
        <f aca="false">MAX(H55,N(F56))</f>
        <v>0.529166666666667</v>
      </c>
      <c r="H56" s="39" t="n">
        <f aca="false">G56+D56/1440</f>
        <v>0.555555555555556</v>
      </c>
      <c r="I56" s="38" t="n">
        <f aca="false">MAX(J55,N(F56))</f>
        <v>0.581944444444445</v>
      </c>
      <c r="J56" s="38" t="n">
        <f aca="false">I56+E56/1440</f>
        <v>0.620833333333333</v>
      </c>
      <c r="K56" s="35" t="s">
        <v>452</v>
      </c>
      <c r="L56" s="5"/>
      <c r="M56" s="5"/>
    </row>
    <row r="57" customFormat="false" ht="15" hidden="false" customHeight="false" outlineLevel="0" collapsed="false">
      <c r="A57" s="12"/>
      <c r="B57" s="8" t="s">
        <v>376</v>
      </c>
      <c r="C57" s="8" t="s">
        <v>388</v>
      </c>
      <c r="D57" s="17" t="n">
        <f aca="false">係数!$B$21</f>
        <v>50</v>
      </c>
      <c r="E57" s="17" t="n">
        <f aca="false">係数!$B$21</f>
        <v>50</v>
      </c>
      <c r="F57" s="5"/>
      <c r="G57" s="32" t="n">
        <f aca="false">MAX(H56,N(F57))</f>
        <v>0.555555555555556</v>
      </c>
      <c r="H57" s="33" t="n">
        <f aca="false">G57+D57/1440</f>
        <v>0.590277777777778</v>
      </c>
      <c r="I57" s="32" t="n">
        <f aca="false">MAX(J56,N(F57))</f>
        <v>0.620833333333333</v>
      </c>
      <c r="J57" s="32" t="n">
        <f aca="false">I57+E57/1440</f>
        <v>0.655555555555556</v>
      </c>
      <c r="K57" s="12"/>
      <c r="L57" s="5"/>
      <c r="M57" s="5"/>
    </row>
    <row r="58" customFormat="false" ht="15" hidden="false" customHeight="false" outlineLevel="0" collapsed="false">
      <c r="A58" s="12"/>
      <c r="B58" s="8" t="s">
        <v>385</v>
      </c>
      <c r="C58" s="12" t="s">
        <v>453</v>
      </c>
      <c r="D58" s="17" t="n">
        <f aca="false">INDEX(移動!$C$4:$C$12,MATCH("車移動（長）",移動!$A$4:$A$12,0))</f>
        <v>30</v>
      </c>
      <c r="E58" s="17" t="n">
        <f aca="false">INDEX(移動!$D$4:$D$12,MATCH("車移動（長）",移動!$A$4:$A$12,0))</f>
        <v>45</v>
      </c>
      <c r="F58" s="5"/>
      <c r="G58" s="32" t="n">
        <f aca="false">MAX(H57,N(F58))</f>
        <v>0.590277777777778</v>
      </c>
      <c r="H58" s="33" t="n">
        <f aca="false">G58+D58/1440</f>
        <v>0.611111111111111</v>
      </c>
      <c r="I58" s="32" t="n">
        <f aca="false">MAX(J57,N(F58))</f>
        <v>0.655555555555556</v>
      </c>
      <c r="J58" s="32" t="n">
        <f aca="false">I58+E58/1440</f>
        <v>0.686805555555556</v>
      </c>
      <c r="K58" s="12"/>
      <c r="L58" s="5"/>
      <c r="M58" s="5"/>
    </row>
    <row r="59" customFormat="false" ht="15" hidden="false" customHeight="false" outlineLevel="0" collapsed="false">
      <c r="A59" s="34"/>
      <c r="B59" s="35" t="s">
        <v>382</v>
      </c>
      <c r="C59" s="34" t="s">
        <v>454</v>
      </c>
      <c r="D59" s="36" t="n">
        <f aca="false">INDEX(シーン見積!$AP$4:$AP$25,MATCH("21",シーン見積!$A$4:$A$25,0))</f>
        <v>59</v>
      </c>
      <c r="E59" s="36" t="n">
        <f aca="false">INDEX(シーン見積!$AQ$4:$AQ$25,MATCH("21",シーン見積!$A$4:$A$25,0))</f>
        <v>85</v>
      </c>
      <c r="F59" s="40"/>
      <c r="G59" s="38" t="n">
        <f aca="false">MAX(H58,N(F59))</f>
        <v>0.611111111111111</v>
      </c>
      <c r="H59" s="39" t="n">
        <f aca="false">G59+D59/1440</f>
        <v>0.652083333333333</v>
      </c>
      <c r="I59" s="38" t="n">
        <f aca="false">MAX(J58,N(F59))</f>
        <v>0.686805555555556</v>
      </c>
      <c r="J59" s="38" t="n">
        <f aca="false">I59+E59/1440</f>
        <v>0.745833333333333</v>
      </c>
      <c r="K59" s="34"/>
      <c r="L59" s="5"/>
      <c r="M59" s="5"/>
    </row>
    <row r="60" customFormat="false" ht="15" hidden="false" customHeight="false" outlineLevel="0" collapsed="false">
      <c r="A60" s="12"/>
      <c r="B60" s="8" t="s">
        <v>385</v>
      </c>
      <c r="C60" s="12" t="s">
        <v>455</v>
      </c>
      <c r="D60" s="17" t="n">
        <f aca="false">INDEX(移動!$C$4:$C$12,MATCH("車移動（短）",移動!$A$4:$A$12,0))</f>
        <v>20</v>
      </c>
      <c r="E60" s="17" t="n">
        <f aca="false">INDEX(移動!$D$4:$D$12,MATCH("車移動（短）",移動!$A$4:$A$12,0))</f>
        <v>30</v>
      </c>
      <c r="F60" s="5"/>
      <c r="G60" s="32" t="n">
        <f aca="false">MAX(H59,N(F60))</f>
        <v>0.652083333333333</v>
      </c>
      <c r="H60" s="33" t="n">
        <f aca="false">G60+D60/1440</f>
        <v>0.665972222222222</v>
      </c>
      <c r="I60" s="32" t="n">
        <f aca="false">MAX(J59,N(F60))</f>
        <v>0.745833333333333</v>
      </c>
      <c r="J60" s="32" t="n">
        <f aca="false">I60+E60/1440</f>
        <v>0.766666666666667</v>
      </c>
      <c r="K60" s="12"/>
      <c r="L60" s="5"/>
      <c r="M60" s="5"/>
    </row>
    <row r="61" customFormat="false" ht="15" hidden="false" customHeight="false" outlineLevel="0" collapsed="false">
      <c r="A61" s="34"/>
      <c r="B61" s="35" t="s">
        <v>382</v>
      </c>
      <c r="C61" s="34" t="s">
        <v>456</v>
      </c>
      <c r="D61" s="36" t="n">
        <f aca="false">INDEX(シーン見積!$AP$4:$AP$25,MATCH("22",シーン見積!$A$4:$A$25,0))</f>
        <v>55</v>
      </c>
      <c r="E61" s="36" t="n">
        <f aca="false">INDEX(シーン見積!$AQ$4:$AQ$25,MATCH("22",シーン見積!$A$4:$A$25,0))</f>
        <v>88</v>
      </c>
      <c r="F61" s="40"/>
      <c r="G61" s="38" t="n">
        <f aca="false">MAX(H60,N(F61))</f>
        <v>0.665972222222222</v>
      </c>
      <c r="H61" s="39" t="n">
        <f aca="false">G61+D61/1440</f>
        <v>0.704166666666667</v>
      </c>
      <c r="I61" s="38" t="n">
        <f aca="false">MAX(J60,N(F61))</f>
        <v>0.766666666666667</v>
      </c>
      <c r="J61" s="38" t="n">
        <f aca="false">I61+E61/1440</f>
        <v>0.827777777777778</v>
      </c>
      <c r="K61" s="35" t="s">
        <v>457</v>
      </c>
      <c r="L61" s="5"/>
      <c r="M61" s="5"/>
    </row>
    <row r="62" customFormat="false" ht="15" hidden="false" customHeight="false" outlineLevel="0" collapsed="false">
      <c r="A62" s="12"/>
      <c r="B62" s="8" t="s">
        <v>385</v>
      </c>
      <c r="C62" s="12" t="s">
        <v>458</v>
      </c>
      <c r="D62" s="17" t="n">
        <f aca="false">INDEX(移動!$C$4:$C$12,MATCH("浜の中で移動",移動!$A$4:$A$12,0))</f>
        <v>5</v>
      </c>
      <c r="E62" s="17" t="n">
        <f aca="false">INDEX(移動!$D$4:$D$12,MATCH("浜の中で移動",移動!$A$4:$A$12,0))</f>
        <v>15</v>
      </c>
      <c r="F62" s="5"/>
      <c r="G62" s="32" t="n">
        <f aca="false">MAX(H61,N(F62))</f>
        <v>0.704166666666667</v>
      </c>
      <c r="H62" s="33" t="n">
        <f aca="false">G62+D62/1440</f>
        <v>0.707638888888889</v>
      </c>
      <c r="I62" s="32" t="n">
        <f aca="false">MAX(J61,N(F62))</f>
        <v>0.827777777777778</v>
      </c>
      <c r="J62" s="32" t="n">
        <f aca="false">I62+E62/1440</f>
        <v>0.838194444444445</v>
      </c>
      <c r="K62" s="12"/>
      <c r="L62" s="5"/>
      <c r="M62" s="5"/>
    </row>
    <row r="63" customFormat="false" ht="15" hidden="false" customHeight="false" outlineLevel="0" collapsed="false">
      <c r="A63" s="34"/>
      <c r="B63" s="35" t="s">
        <v>382</v>
      </c>
      <c r="C63" s="34" t="s">
        <v>459</v>
      </c>
      <c r="D63" s="36" t="n">
        <f aca="false">INDEX(シーン見積!$AP$4:$AP$25,MATCH("1",シーン見積!$A$4:$A$25,0))</f>
        <v>25</v>
      </c>
      <c r="E63" s="36" t="n">
        <f aca="false">INDEX(シーン見積!$AQ$4:$AQ$25,MATCH("1",シーン見積!$A$4:$A$25,0))</f>
        <v>37</v>
      </c>
      <c r="F63" s="41" t="n">
        <f aca="false">日没!$C$7-15/1440</f>
        <v>0.703472222222222</v>
      </c>
      <c r="G63" s="38" t="n">
        <f aca="false">MAX(H62,N(F63))</f>
        <v>0.707638888888889</v>
      </c>
      <c r="H63" s="39" t="n">
        <f aca="false">G63+D63/1440</f>
        <v>0.725</v>
      </c>
      <c r="I63" s="38" t="n">
        <f aca="false">MAX(J62,N(F63))</f>
        <v>0.838194444444445</v>
      </c>
      <c r="J63" s="38" t="n">
        <f aca="false">I63+E63/1440</f>
        <v>0.863888888888889</v>
      </c>
      <c r="K63" s="35" t="s">
        <v>460</v>
      </c>
      <c r="L63" s="5"/>
      <c r="M63" s="5"/>
    </row>
    <row r="64" customFormat="false" ht="15" hidden="false" customHeight="false" outlineLevel="0" collapsed="false">
      <c r="A64" s="12"/>
      <c r="B64" s="8" t="s">
        <v>379</v>
      </c>
      <c r="C64" s="8" t="s">
        <v>399</v>
      </c>
      <c r="D64" s="17" t="n">
        <f aca="false">係数!$B$22</f>
        <v>15</v>
      </c>
      <c r="E64" s="17" t="n">
        <f aca="false">係数!$B$22</f>
        <v>15</v>
      </c>
      <c r="F64" s="5"/>
      <c r="G64" s="32" t="n">
        <f aca="false">MAX(H63,N(F64))</f>
        <v>0.725</v>
      </c>
      <c r="H64" s="33" t="n">
        <f aca="false">G64+D64/1440</f>
        <v>0.735416666666667</v>
      </c>
      <c r="I64" s="32" t="n">
        <f aca="false">MAX(J63,N(F64))</f>
        <v>0.863888888888889</v>
      </c>
      <c r="J64" s="32" t="n">
        <f aca="false">I64+E64/1440</f>
        <v>0.874305555555556</v>
      </c>
      <c r="K64" s="12"/>
      <c r="L64" s="5"/>
      <c r="M64" s="5"/>
    </row>
    <row r="65" customFormat="fals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</row>
    <row r="66" customFormat="fals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</row>
    <row r="67" customFormat="false" ht="15" hidden="false" customHeight="false" outlineLevel="0" collapsed="false">
      <c r="A67" s="4" t="s">
        <v>461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</row>
    <row r="68" customFormat="false" ht="31.5" hidden="false" customHeight="true" outlineLevel="0" collapsed="false">
      <c r="A68" s="7" t="s">
        <v>365</v>
      </c>
      <c r="B68" s="7" t="s">
        <v>462</v>
      </c>
      <c r="C68" s="7" t="s">
        <v>371</v>
      </c>
      <c r="D68" s="7" t="s">
        <v>373</v>
      </c>
      <c r="E68" s="7" t="s">
        <v>463</v>
      </c>
      <c r="F68" s="7" t="s">
        <v>464</v>
      </c>
      <c r="G68" s="7" t="s">
        <v>465</v>
      </c>
      <c r="H68" s="7" t="s">
        <v>466</v>
      </c>
      <c r="I68" s="7" t="s">
        <v>467</v>
      </c>
      <c r="J68" s="5"/>
      <c r="K68" s="5"/>
      <c r="L68" s="5"/>
      <c r="M68" s="5"/>
    </row>
    <row r="69" customFormat="false" ht="15" hidden="false" customHeight="false" outlineLevel="0" collapsed="false">
      <c r="A69" s="15" t="s">
        <v>468</v>
      </c>
      <c r="B69" s="30" t="n">
        <v>0.708333333333333</v>
      </c>
      <c r="C69" s="42" t="n">
        <f aca="false">H17</f>
        <v>0.648611111111111</v>
      </c>
      <c r="D69" s="42" t="n">
        <f aca="false">J17</f>
        <v>0.708333333333333</v>
      </c>
      <c r="E69" s="23" t="n">
        <f aca="false">ROUND((B69-C69)*1440,0)</f>
        <v>86</v>
      </c>
      <c r="F69" s="23" t="n">
        <f aca="false">ROUND((B69-D69)*1440,0)</f>
        <v>0</v>
      </c>
      <c r="G69" s="23" t="str">
        <f aca="false">IF(E69&gt;=0,"収まる","超過")</f>
        <v>収まる</v>
      </c>
      <c r="H69" s="23" t="str">
        <f aca="false">IF(F69&gt;=0,"収まる","超過")</f>
        <v>収まる</v>
      </c>
      <c r="I69" s="12" t="s">
        <v>469</v>
      </c>
      <c r="J69" s="5"/>
      <c r="K69" s="5"/>
      <c r="L69" s="5"/>
      <c r="M69" s="5"/>
    </row>
    <row r="70" customFormat="false" ht="15" hidden="false" customHeight="false" outlineLevel="0" collapsed="false">
      <c r="A70" s="15" t="s">
        <v>470</v>
      </c>
      <c r="B70" s="30" t="n">
        <v>0.708333333333333</v>
      </c>
      <c r="C70" s="42" t="n">
        <f aca="false">H34</f>
        <v>0.695833333333333</v>
      </c>
      <c r="D70" s="42" t="n">
        <f aca="false">J34</f>
        <v>0.796527777777778</v>
      </c>
      <c r="E70" s="23" t="n">
        <f aca="false">ROUND((B70-C70)*1440,0)</f>
        <v>18</v>
      </c>
      <c r="F70" s="23" t="n">
        <f aca="false">ROUND((B70-D70)*1440,0)</f>
        <v>-127</v>
      </c>
      <c r="G70" s="23" t="str">
        <f aca="false">IF(E70&gt;=0,"収まる","超過")</f>
        <v>収まる</v>
      </c>
      <c r="H70" s="23" t="str">
        <f aca="false">IF(F70&gt;=0,"収まる","超過")</f>
        <v>超過</v>
      </c>
      <c r="I70" s="12" t="s">
        <v>469</v>
      </c>
      <c r="J70" s="5"/>
      <c r="K70" s="5"/>
      <c r="L70" s="5"/>
      <c r="M70" s="5"/>
    </row>
    <row r="71" customFormat="false" ht="15" hidden="false" customHeight="false" outlineLevel="0" collapsed="false">
      <c r="A71" s="15" t="s">
        <v>471</v>
      </c>
      <c r="B71" s="43" t="n">
        <f aca="false">日没!$D$6</f>
        <v>0.734722222222222</v>
      </c>
      <c r="C71" s="42" t="n">
        <f aca="false">H50</f>
        <v>0.724305555555556</v>
      </c>
      <c r="D71" s="42" t="n">
        <f aca="false">J50</f>
        <v>0.888888888888889</v>
      </c>
      <c r="E71" s="23" t="n">
        <f aca="false">ROUND((B71-C71)*1440,0)</f>
        <v>15</v>
      </c>
      <c r="F71" s="23" t="n">
        <f aca="false">ROUND((B71-D71)*1440,0)</f>
        <v>-222</v>
      </c>
      <c r="G71" s="23" t="str">
        <f aca="false">IF(E71&gt;=0,"収まる","超過")</f>
        <v>収まる</v>
      </c>
      <c r="H71" s="23" t="str">
        <f aca="false">IF(F71&gt;=0,"収まる","超過")</f>
        <v>超過</v>
      </c>
      <c r="I71" s="12" t="s">
        <v>472</v>
      </c>
      <c r="J71" s="5"/>
      <c r="K71" s="5"/>
      <c r="L71" s="5"/>
      <c r="M71" s="5"/>
    </row>
    <row r="72" customFormat="false" ht="15" hidden="false" customHeight="false" outlineLevel="0" collapsed="false">
      <c r="A72" s="15" t="s">
        <v>473</v>
      </c>
      <c r="B72" s="43" t="n">
        <f aca="false">日没!$D$7</f>
        <v>0.733333333333333</v>
      </c>
      <c r="C72" s="42" t="n">
        <f aca="false">H63</f>
        <v>0.725</v>
      </c>
      <c r="D72" s="42" t="n">
        <f aca="false">J63</f>
        <v>0.863888888888889</v>
      </c>
      <c r="E72" s="23" t="n">
        <f aca="false">ROUND((B72-C72)*1440,0)</f>
        <v>12</v>
      </c>
      <c r="F72" s="23" t="n">
        <f aca="false">ROUND((B72-D72)*1440,0)</f>
        <v>-188</v>
      </c>
      <c r="G72" s="23" t="str">
        <f aca="false">IF(E72&gt;=0,"収まる","超過")</f>
        <v>収まる</v>
      </c>
      <c r="H72" s="23" t="str">
        <f aca="false">IF(F72&gt;=0,"収まる","超過")</f>
        <v>超過</v>
      </c>
      <c r="I72" s="12" t="s">
        <v>474</v>
      </c>
      <c r="J72" s="5"/>
      <c r="K72" s="5"/>
      <c r="L72" s="5"/>
      <c r="M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</row>
    <row r="74" customFormat="false" ht="15" hidden="false" customHeight="false" outlineLevel="0" collapsed="false">
      <c r="A74" s="21" t="s">
        <v>475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customFormat="false" ht="15" hidden="false" customHeight="false" outlineLevel="0" collapsed="false">
      <c r="A75" s="21" t="s">
        <v>476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</row>
  </sheetData>
  <conditionalFormatting sqref="G69:H72">
    <cfRule type="cellIs" priority="2" operator="equal" aboveAverage="0" equalAverage="0" bottom="0" percent="0" rank="0" text="" dxfId="1">
      <formula>"不足"</formula>
    </cfRule>
    <cfRule type="cellIs" priority="3" operator="equal" aboveAverage="0" equalAverage="0" bottom="0" percent="0" rank="0" text="" dxfId="1">
      <formula>"超過"</formula>
    </cfRule>
    <cfRule type="cellIs" priority="4" operator="equal" aboveAverage="0" equalAverage="0" bottom="0" percent="0" rank="0" text="" dxfId="1">
      <formula>"ずれ"</formula>
    </cfRule>
    <cfRule type="cellIs" priority="5" operator="equal" aboveAverage="0" equalAverage="0" bottom="0" percent="0" rank="0" text="" dxfId="1">
      <formula>"超える"</formula>
    </cfRule>
    <cfRule type="cellIs" priority="6" operator="equal" aboveAverage="0" equalAverage="0" bottom="0" percent="0" rank="0" text="" dxfId="2">
      <formula>"ギリギリ"</formula>
    </cfRule>
    <cfRule type="cellIs" priority="7" operator="equal" aboveAverage="0" equalAverage="0" bottom="0" percent="0" rank="0" text="" dxfId="2">
      <formula>"条件付き"</formula>
    </cfRule>
    <cfRule type="cellIs" priority="8" operator="equal" aboveAverage="0" equalAverage="0" bottom="0" percent="0" rank="0" text="" dxfId="2">
      <formula>"一部ずれ"</formula>
    </cfRule>
    <cfRule type="cellIs" priority="9" operator="equal" aboveAverage="0" equalAverage="0" bottom="0" percent="0" rank="0" text="" dxfId="0">
      <formula>"余裕あり"</formula>
    </cfRule>
    <cfRule type="cellIs" priority="10" operator="equal" aboveAverage="0" equalAverage="0" bottom="0" percent="0" rank="0" text="" dxfId="0">
      <formula>"収まる"</formula>
    </cfRule>
    <cfRule type="cellIs" priority="11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5" min="5" style="0" width="10"/>
    <col collapsed="false" customWidth="true" hidden="false" outlineLevel="0" max="6" min="6" style="0" width="52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4" t="s">
        <v>477</v>
      </c>
      <c r="B1" s="5"/>
      <c r="C1" s="5"/>
      <c r="D1" s="5"/>
      <c r="E1" s="5"/>
      <c r="F1" s="5"/>
      <c r="G1" s="5"/>
    </row>
    <row r="2" customFormat="false" ht="15" hidden="false" customHeight="false" outlineLevel="0" collapsed="false">
      <c r="A2" s="6" t="s">
        <v>478</v>
      </c>
      <c r="B2" s="5"/>
      <c r="C2" s="5"/>
      <c r="D2" s="5"/>
      <c r="E2" s="5"/>
      <c r="F2" s="5"/>
      <c r="G2" s="5"/>
    </row>
    <row r="3" customFormat="false" ht="15" hidden="false" customHeight="false" outlineLevel="0" collapsed="false">
      <c r="A3" s="7" t="s">
        <v>479</v>
      </c>
      <c r="B3" s="7" t="s">
        <v>29</v>
      </c>
      <c r="C3" s="7" t="s">
        <v>30</v>
      </c>
      <c r="D3" s="7" t="s">
        <v>480</v>
      </c>
      <c r="E3" s="7" t="s">
        <v>32</v>
      </c>
      <c r="F3" s="7" t="s">
        <v>481</v>
      </c>
      <c r="G3" s="5"/>
    </row>
    <row r="4" customFormat="false" ht="15" hidden="false" customHeight="false" outlineLevel="0" collapsed="false">
      <c r="A4" s="8" t="s">
        <v>482</v>
      </c>
      <c r="B4" s="9" t="n">
        <v>0</v>
      </c>
      <c r="C4" s="9" t="n">
        <v>3</v>
      </c>
      <c r="D4" s="9" t="n">
        <v>5</v>
      </c>
      <c r="E4" s="8" t="s">
        <v>35</v>
      </c>
      <c r="F4" s="8" t="s">
        <v>483</v>
      </c>
      <c r="G4" s="5"/>
    </row>
    <row r="5" customFormat="false" ht="15" hidden="false" customHeight="false" outlineLevel="0" collapsed="false">
      <c r="A5" s="8" t="s">
        <v>484</v>
      </c>
      <c r="B5" s="9" t="n">
        <v>5</v>
      </c>
      <c r="C5" s="9" t="n">
        <v>10</v>
      </c>
      <c r="D5" s="9" t="n">
        <v>15</v>
      </c>
      <c r="E5" s="8" t="s">
        <v>35</v>
      </c>
      <c r="F5" s="8" t="s">
        <v>485</v>
      </c>
      <c r="G5" s="5"/>
    </row>
    <row r="6" customFormat="false" ht="15" hidden="false" customHeight="false" outlineLevel="0" collapsed="false">
      <c r="A6" s="8" t="s">
        <v>486</v>
      </c>
      <c r="B6" s="9" t="n">
        <v>5</v>
      </c>
      <c r="C6" s="9" t="n">
        <v>8</v>
      </c>
      <c r="D6" s="9" t="n">
        <v>12</v>
      </c>
      <c r="E6" s="8" t="s">
        <v>35</v>
      </c>
      <c r="F6" s="8" t="s">
        <v>487</v>
      </c>
      <c r="G6" s="5"/>
    </row>
    <row r="7" customFormat="false" ht="15" hidden="false" customHeight="false" outlineLevel="0" collapsed="false">
      <c r="A7" s="8" t="s">
        <v>488</v>
      </c>
      <c r="B7" s="9" t="n">
        <v>8</v>
      </c>
      <c r="C7" s="9" t="n">
        <v>12</v>
      </c>
      <c r="D7" s="9" t="n">
        <v>18</v>
      </c>
      <c r="E7" s="8" t="s">
        <v>35</v>
      </c>
      <c r="F7" s="8" t="s">
        <v>489</v>
      </c>
      <c r="G7" s="5"/>
    </row>
    <row r="8" customFormat="false" ht="15" hidden="false" customHeight="false" outlineLevel="0" collapsed="false">
      <c r="A8" s="8" t="s">
        <v>490</v>
      </c>
      <c r="B8" s="9" t="n">
        <v>10</v>
      </c>
      <c r="C8" s="9" t="n">
        <v>15</v>
      </c>
      <c r="D8" s="9" t="n">
        <v>20</v>
      </c>
      <c r="E8" s="8" t="s">
        <v>35</v>
      </c>
      <c r="F8" s="8" t="s">
        <v>491</v>
      </c>
      <c r="G8" s="5"/>
    </row>
    <row r="9" customFormat="false" ht="15" hidden="false" customHeight="false" outlineLevel="0" collapsed="false">
      <c r="A9" s="8" t="s">
        <v>492</v>
      </c>
      <c r="B9" s="9" t="n">
        <v>10</v>
      </c>
      <c r="C9" s="9" t="n">
        <v>15</v>
      </c>
      <c r="D9" s="9" t="n">
        <v>25</v>
      </c>
      <c r="E9" s="8" t="s">
        <v>35</v>
      </c>
      <c r="F9" s="8" t="s">
        <v>493</v>
      </c>
      <c r="G9" s="5"/>
    </row>
    <row r="10" customFormat="false" ht="15" hidden="false" customHeight="false" outlineLevel="0" collapsed="false">
      <c r="A10" s="8" t="s">
        <v>494</v>
      </c>
      <c r="B10" s="9" t="n">
        <v>20</v>
      </c>
      <c r="C10" s="11" t="n">
        <v>30</v>
      </c>
      <c r="D10" s="9" t="n">
        <v>45</v>
      </c>
      <c r="E10" s="8" t="s">
        <v>495</v>
      </c>
      <c r="F10" s="8" t="s">
        <v>496</v>
      </c>
      <c r="G10" s="5"/>
    </row>
    <row r="11" customFormat="false" ht="15" hidden="false" customHeight="false" outlineLevel="0" collapsed="false">
      <c r="A11" s="8" t="s">
        <v>497</v>
      </c>
      <c r="B11" s="9" t="n">
        <v>10</v>
      </c>
      <c r="C11" s="11" t="n">
        <v>20</v>
      </c>
      <c r="D11" s="9" t="n">
        <v>30</v>
      </c>
      <c r="E11" s="8" t="s">
        <v>495</v>
      </c>
      <c r="F11" s="8" t="s">
        <v>498</v>
      </c>
      <c r="G11" s="5"/>
    </row>
    <row r="12" customFormat="false" ht="15" hidden="false" customHeight="false" outlineLevel="0" collapsed="false">
      <c r="A12" s="8" t="s">
        <v>499</v>
      </c>
      <c r="B12" s="9" t="n">
        <v>0</v>
      </c>
      <c r="C12" s="9" t="n">
        <v>5</v>
      </c>
      <c r="D12" s="9" t="n">
        <v>15</v>
      </c>
      <c r="E12" s="8" t="s">
        <v>35</v>
      </c>
      <c r="F12" s="12" t="s">
        <v>500</v>
      </c>
      <c r="G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</row>
    <row r="15" customFormat="false" ht="26.85" hidden="false" customHeight="false" outlineLevel="0" collapsed="false">
      <c r="A15" s="7" t="s">
        <v>220</v>
      </c>
      <c r="B15" s="7" t="s">
        <v>501</v>
      </c>
      <c r="C15" s="7" t="s">
        <v>479</v>
      </c>
      <c r="D15" s="7" t="s">
        <v>29</v>
      </c>
      <c r="E15" s="7" t="s">
        <v>30</v>
      </c>
      <c r="F15" s="7" t="s">
        <v>480</v>
      </c>
      <c r="G15" s="7" t="s">
        <v>502</v>
      </c>
    </row>
    <row r="16" customFormat="false" ht="15" hidden="false" customHeight="false" outlineLevel="0" collapsed="false">
      <c r="A16" s="12" t="s">
        <v>263</v>
      </c>
      <c r="B16" s="12" t="s">
        <v>503</v>
      </c>
      <c r="C16" s="25" t="s">
        <v>490</v>
      </c>
      <c r="D16" s="23" t="n">
        <f aca="false">INDEX($B$4:$B$12,MATCH($C16,$A$4:$A$12,0))</f>
        <v>10</v>
      </c>
      <c r="E16" s="23" t="n">
        <f aca="false">INDEX($C$4:$C$12,MATCH($C16,$A$4:$A$12,0))</f>
        <v>15</v>
      </c>
      <c r="F16" s="23" t="n">
        <f aca="false">INDEX($D$4:$D$12,MATCH($C16,$A$4:$A$12,0))</f>
        <v>20</v>
      </c>
      <c r="G16" s="11" t="n">
        <v>10</v>
      </c>
    </row>
    <row r="17" customFormat="false" ht="15" hidden="false" customHeight="false" outlineLevel="0" collapsed="false">
      <c r="A17" s="12" t="s">
        <v>263</v>
      </c>
      <c r="B17" s="12" t="s">
        <v>504</v>
      </c>
      <c r="C17" s="25" t="s">
        <v>490</v>
      </c>
      <c r="D17" s="23" t="n">
        <f aca="false">INDEX($B$4:$B$12,MATCH($C17,$A$4:$A$12,0))</f>
        <v>10</v>
      </c>
      <c r="E17" s="23" t="n">
        <f aca="false">INDEX($C$4:$C$12,MATCH($C17,$A$4:$A$12,0))</f>
        <v>15</v>
      </c>
      <c r="F17" s="23" t="n">
        <f aca="false">INDEX($D$4:$D$12,MATCH($C17,$A$4:$A$12,0))</f>
        <v>20</v>
      </c>
      <c r="G17" s="11" t="n">
        <v>0</v>
      </c>
    </row>
    <row r="18" customFormat="false" ht="15" hidden="false" customHeight="false" outlineLevel="0" collapsed="false">
      <c r="A18" s="12" t="s">
        <v>263</v>
      </c>
      <c r="B18" s="12" t="s">
        <v>505</v>
      </c>
      <c r="C18" s="25" t="s">
        <v>482</v>
      </c>
      <c r="D18" s="23" t="n">
        <f aca="false">INDEX($B$4:$B$12,MATCH($C18,$A$4:$A$12,0))</f>
        <v>0</v>
      </c>
      <c r="E18" s="23" t="n">
        <f aca="false">INDEX($C$4:$C$12,MATCH($C18,$A$4:$A$12,0))</f>
        <v>3</v>
      </c>
      <c r="F18" s="23" t="n">
        <f aca="false">INDEX($D$4:$D$12,MATCH($C18,$A$4:$A$12,0))</f>
        <v>5</v>
      </c>
      <c r="G18" s="11" t="n">
        <v>10</v>
      </c>
    </row>
    <row r="19" customFormat="false" ht="15" hidden="false" customHeight="false" outlineLevel="0" collapsed="false">
      <c r="A19" s="12" t="s">
        <v>285</v>
      </c>
      <c r="B19" s="12" t="s">
        <v>506</v>
      </c>
      <c r="C19" s="25" t="s">
        <v>484</v>
      </c>
      <c r="D19" s="23" t="n">
        <f aca="false">INDEX($B$4:$B$12,MATCH($C19,$A$4:$A$12,0))</f>
        <v>5</v>
      </c>
      <c r="E19" s="23" t="n">
        <f aca="false">INDEX($C$4:$C$12,MATCH($C19,$A$4:$A$12,0))</f>
        <v>10</v>
      </c>
      <c r="F19" s="23" t="n">
        <f aca="false">INDEX($D$4:$D$12,MATCH($C19,$A$4:$A$12,0))</f>
        <v>15</v>
      </c>
      <c r="G19" s="11" t="n">
        <v>10</v>
      </c>
    </row>
    <row r="20" customFormat="false" ht="15" hidden="false" customHeight="false" outlineLevel="0" collapsed="false">
      <c r="A20" s="12" t="s">
        <v>285</v>
      </c>
      <c r="B20" s="12" t="s">
        <v>507</v>
      </c>
      <c r="C20" s="25" t="s">
        <v>484</v>
      </c>
      <c r="D20" s="23" t="n">
        <f aca="false">INDEX($B$4:$B$12,MATCH($C20,$A$4:$A$12,0))</f>
        <v>5</v>
      </c>
      <c r="E20" s="23" t="n">
        <f aca="false">INDEX($C$4:$C$12,MATCH($C20,$A$4:$A$12,0))</f>
        <v>10</v>
      </c>
      <c r="F20" s="23" t="n">
        <f aca="false">INDEX($D$4:$D$12,MATCH($C20,$A$4:$A$12,0))</f>
        <v>15</v>
      </c>
      <c r="G20" s="11" t="n">
        <v>0</v>
      </c>
    </row>
    <row r="21" customFormat="false" ht="15" hidden="false" customHeight="false" outlineLevel="0" collapsed="false">
      <c r="A21" s="12" t="s">
        <v>285</v>
      </c>
      <c r="B21" s="12" t="s">
        <v>508</v>
      </c>
      <c r="C21" s="25" t="s">
        <v>486</v>
      </c>
      <c r="D21" s="23" t="n">
        <f aca="false">INDEX($B$4:$B$12,MATCH($C21,$A$4:$A$12,0))</f>
        <v>5</v>
      </c>
      <c r="E21" s="23" t="n">
        <f aca="false">INDEX($C$4:$C$12,MATCH($C21,$A$4:$A$12,0))</f>
        <v>8</v>
      </c>
      <c r="F21" s="23" t="n">
        <f aca="false">INDEX($D$4:$D$12,MATCH($C21,$A$4:$A$12,0))</f>
        <v>12</v>
      </c>
      <c r="G21" s="11" t="n">
        <v>0</v>
      </c>
    </row>
    <row r="22" customFormat="false" ht="15" hidden="false" customHeight="false" outlineLevel="0" collapsed="false">
      <c r="A22" s="12" t="s">
        <v>285</v>
      </c>
      <c r="B22" s="12" t="s">
        <v>509</v>
      </c>
      <c r="C22" s="25" t="s">
        <v>486</v>
      </c>
      <c r="D22" s="23" t="n">
        <f aca="false">INDEX($B$4:$B$12,MATCH($C22,$A$4:$A$12,0))</f>
        <v>5</v>
      </c>
      <c r="E22" s="23" t="n">
        <f aca="false">INDEX($C$4:$C$12,MATCH($C22,$A$4:$A$12,0))</f>
        <v>8</v>
      </c>
      <c r="F22" s="23" t="n">
        <f aca="false">INDEX($D$4:$D$12,MATCH($C22,$A$4:$A$12,0))</f>
        <v>12</v>
      </c>
      <c r="G22" s="11" t="n">
        <v>0</v>
      </c>
    </row>
    <row r="23" customFormat="false" ht="15" hidden="false" customHeight="false" outlineLevel="0" collapsed="false">
      <c r="A23" s="12" t="s">
        <v>309</v>
      </c>
      <c r="B23" s="12" t="s">
        <v>510</v>
      </c>
      <c r="C23" s="25" t="s">
        <v>484</v>
      </c>
      <c r="D23" s="23" t="n">
        <f aca="false">INDEX($B$4:$B$12,MATCH($C23,$A$4:$A$12,0))</f>
        <v>5</v>
      </c>
      <c r="E23" s="23" t="n">
        <f aca="false">INDEX($C$4:$C$12,MATCH($C23,$A$4:$A$12,0))</f>
        <v>10</v>
      </c>
      <c r="F23" s="23" t="n">
        <f aca="false">INDEX($D$4:$D$12,MATCH($C23,$A$4:$A$12,0))</f>
        <v>15</v>
      </c>
      <c r="G23" s="11" t="n">
        <v>0</v>
      </c>
    </row>
    <row r="24" customFormat="false" ht="15" hidden="false" customHeight="false" outlineLevel="0" collapsed="false">
      <c r="A24" s="12" t="s">
        <v>314</v>
      </c>
      <c r="B24" s="12" t="s">
        <v>511</v>
      </c>
      <c r="C24" s="25" t="s">
        <v>492</v>
      </c>
      <c r="D24" s="23" t="n">
        <f aca="false">INDEX($B$4:$B$12,MATCH($C24,$A$4:$A$12,0))</f>
        <v>10</v>
      </c>
      <c r="E24" s="23" t="n">
        <f aca="false">INDEX($C$4:$C$12,MATCH($C24,$A$4:$A$12,0))</f>
        <v>15</v>
      </c>
      <c r="F24" s="23" t="n">
        <f aca="false">INDEX($D$4:$D$12,MATCH($C24,$A$4:$A$12,0))</f>
        <v>25</v>
      </c>
      <c r="G24" s="11" t="n">
        <v>10</v>
      </c>
    </row>
    <row r="25" customFormat="false" ht="15" hidden="false" customHeight="false" outlineLevel="0" collapsed="false">
      <c r="A25" s="12" t="s">
        <v>314</v>
      </c>
      <c r="B25" s="12" t="s">
        <v>512</v>
      </c>
      <c r="C25" s="25" t="s">
        <v>486</v>
      </c>
      <c r="D25" s="23" t="n">
        <f aca="false">INDEX($B$4:$B$12,MATCH($C25,$A$4:$A$12,0))</f>
        <v>5</v>
      </c>
      <c r="E25" s="23" t="n">
        <f aca="false">INDEX($C$4:$C$12,MATCH($C25,$A$4:$A$12,0))</f>
        <v>8</v>
      </c>
      <c r="F25" s="23" t="n">
        <f aca="false">INDEX($D$4:$D$12,MATCH($C25,$A$4:$A$12,0))</f>
        <v>12</v>
      </c>
      <c r="G25" s="11" t="n">
        <v>0</v>
      </c>
    </row>
    <row r="26" customFormat="false" ht="15" hidden="false" customHeight="false" outlineLevel="0" collapsed="false">
      <c r="A26" s="12" t="s">
        <v>314</v>
      </c>
      <c r="B26" s="12" t="s">
        <v>513</v>
      </c>
      <c r="C26" s="25" t="s">
        <v>490</v>
      </c>
      <c r="D26" s="23" t="n">
        <f aca="false">INDEX($B$4:$B$12,MATCH($C26,$A$4:$A$12,0))</f>
        <v>10</v>
      </c>
      <c r="E26" s="23" t="n">
        <f aca="false">INDEX($C$4:$C$12,MATCH($C26,$A$4:$A$12,0))</f>
        <v>15</v>
      </c>
      <c r="F26" s="23" t="n">
        <f aca="false">INDEX($D$4:$D$12,MATCH($C26,$A$4:$A$12,0))</f>
        <v>20</v>
      </c>
      <c r="G26" s="11" t="n">
        <v>0</v>
      </c>
    </row>
    <row r="27" customFormat="false" ht="15" hidden="false" customHeight="false" outlineLevel="0" collapsed="false">
      <c r="A27" s="12" t="s">
        <v>314</v>
      </c>
      <c r="B27" s="12" t="s">
        <v>514</v>
      </c>
      <c r="C27" s="25" t="s">
        <v>490</v>
      </c>
      <c r="D27" s="23" t="n">
        <f aca="false">INDEX($B$4:$B$12,MATCH($C27,$A$4:$A$12,0))</f>
        <v>10</v>
      </c>
      <c r="E27" s="23" t="n">
        <f aca="false">INDEX($C$4:$C$12,MATCH($C27,$A$4:$A$12,0))</f>
        <v>15</v>
      </c>
      <c r="F27" s="23" t="n">
        <f aca="false">INDEX($D$4:$D$12,MATCH($C27,$A$4:$A$12,0))</f>
        <v>20</v>
      </c>
      <c r="G27" s="11" t="n">
        <v>0</v>
      </c>
    </row>
    <row r="28" customFormat="false" ht="15" hidden="false" customHeight="false" outlineLevel="0" collapsed="false">
      <c r="A28" s="12" t="s">
        <v>336</v>
      </c>
      <c r="B28" s="12" t="s">
        <v>515</v>
      </c>
      <c r="C28" s="25" t="s">
        <v>488</v>
      </c>
      <c r="D28" s="23" t="n">
        <f aca="false">INDEX($B$4:$B$12,MATCH($C28,$A$4:$A$12,0))</f>
        <v>8</v>
      </c>
      <c r="E28" s="23" t="n">
        <f aca="false">INDEX($C$4:$C$12,MATCH($C28,$A$4:$A$12,0))</f>
        <v>12</v>
      </c>
      <c r="F28" s="23" t="n">
        <f aca="false">INDEX($D$4:$D$12,MATCH($C28,$A$4:$A$12,0))</f>
        <v>18</v>
      </c>
      <c r="G28" s="11" t="n">
        <v>0</v>
      </c>
    </row>
    <row r="29" customFormat="false" ht="15" hidden="false" customHeight="false" outlineLevel="0" collapsed="false">
      <c r="A29" s="12" t="s">
        <v>347</v>
      </c>
      <c r="B29" s="12" t="s">
        <v>516</v>
      </c>
      <c r="C29" s="25" t="s">
        <v>482</v>
      </c>
      <c r="D29" s="23" t="n">
        <f aca="false">INDEX($B$4:$B$12,MATCH($C29,$A$4:$A$12,0))</f>
        <v>0</v>
      </c>
      <c r="E29" s="23" t="n">
        <f aca="false">INDEX($C$4:$C$12,MATCH($C29,$A$4:$A$12,0))</f>
        <v>3</v>
      </c>
      <c r="F29" s="23" t="n">
        <f aca="false">INDEX($D$4:$D$12,MATCH($C29,$A$4:$A$12,0))</f>
        <v>5</v>
      </c>
      <c r="G29" s="11" t="n">
        <v>10</v>
      </c>
    </row>
    <row r="30" customFormat="false" ht="15" hidden="false" customHeight="false" outlineLevel="0" collapsed="false">
      <c r="A30" s="12" t="s">
        <v>347</v>
      </c>
      <c r="B30" s="12" t="s">
        <v>517</v>
      </c>
      <c r="C30" s="25" t="s">
        <v>494</v>
      </c>
      <c r="D30" s="23" t="n">
        <f aca="false">INDEX($B$4:$B$12,MATCH($C30,$A$4:$A$12,0))</f>
        <v>20</v>
      </c>
      <c r="E30" s="23" t="n">
        <f aca="false">INDEX($C$4:$C$12,MATCH($C30,$A$4:$A$12,0))</f>
        <v>30</v>
      </c>
      <c r="F30" s="23" t="n">
        <f aca="false">INDEX($D$4:$D$12,MATCH($C30,$A$4:$A$12,0))</f>
        <v>45</v>
      </c>
      <c r="G30" s="11" t="n">
        <v>30</v>
      </c>
    </row>
    <row r="31" customFormat="false" ht="15" hidden="false" customHeight="false" outlineLevel="0" collapsed="false">
      <c r="A31" s="12" t="s">
        <v>347</v>
      </c>
      <c r="B31" s="12" t="s">
        <v>518</v>
      </c>
      <c r="C31" s="25" t="s">
        <v>497</v>
      </c>
      <c r="D31" s="23" t="n">
        <f aca="false">INDEX($B$4:$B$12,MATCH($C31,$A$4:$A$12,0))</f>
        <v>10</v>
      </c>
      <c r="E31" s="23" t="n">
        <f aca="false">INDEX($C$4:$C$12,MATCH($C31,$A$4:$A$12,0))</f>
        <v>20</v>
      </c>
      <c r="F31" s="23" t="n">
        <f aca="false">INDEX($D$4:$D$12,MATCH($C31,$A$4:$A$12,0))</f>
        <v>30</v>
      </c>
      <c r="G31" s="11" t="n">
        <v>20</v>
      </c>
    </row>
    <row r="32" customFormat="false" ht="15" hidden="false" customHeight="false" outlineLevel="0" collapsed="false">
      <c r="A32" s="12" t="s">
        <v>347</v>
      </c>
      <c r="B32" s="12" t="s">
        <v>519</v>
      </c>
      <c r="C32" s="25" t="s">
        <v>499</v>
      </c>
      <c r="D32" s="23" t="n">
        <f aca="false">INDEX($B$4:$B$12,MATCH($C32,$A$4:$A$12,0))</f>
        <v>0</v>
      </c>
      <c r="E32" s="23" t="n">
        <f aca="false">INDEX($C$4:$C$12,MATCH($C32,$A$4:$A$12,0))</f>
        <v>5</v>
      </c>
      <c r="F32" s="23" t="n">
        <f aca="false">INDEX($D$4:$D$12,MATCH($C32,$A$4:$A$12,0))</f>
        <v>15</v>
      </c>
      <c r="G32" s="11" t="n">
        <v>10</v>
      </c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</row>
    <row r="35" customFormat="false" ht="16.4" hidden="false" customHeight="false" outlineLevel="0" collapsed="false">
      <c r="A35" s="4" t="s">
        <v>520</v>
      </c>
      <c r="B35" s="5"/>
      <c r="C35" s="5"/>
      <c r="D35" s="5"/>
      <c r="E35" s="5"/>
      <c r="F35" s="5"/>
      <c r="G35" s="5"/>
    </row>
    <row r="36" customFormat="false" ht="15" hidden="false" customHeight="false" outlineLevel="0" collapsed="false">
      <c r="A36" s="12" t="n">
        <v>1</v>
      </c>
      <c r="B36" s="8" t="s">
        <v>521</v>
      </c>
      <c r="C36" s="5"/>
      <c r="D36" s="5"/>
      <c r="E36" s="5"/>
      <c r="F36" s="5"/>
      <c r="G36" s="5"/>
    </row>
    <row r="37" customFormat="false" ht="15" hidden="false" customHeight="false" outlineLevel="0" collapsed="false">
      <c r="A37" s="12" t="n">
        <v>2</v>
      </c>
      <c r="B37" s="12" t="s">
        <v>522</v>
      </c>
      <c r="C37" s="5"/>
      <c r="D37" s="5"/>
      <c r="E37" s="5"/>
      <c r="F37" s="5"/>
      <c r="G37" s="5"/>
    </row>
    <row r="38" customFormat="false" ht="15" hidden="false" customHeight="false" outlineLevel="0" collapsed="false">
      <c r="A38" s="12" t="n">
        <v>3</v>
      </c>
      <c r="B38" s="12" t="s">
        <v>523</v>
      </c>
      <c r="C38" s="5"/>
      <c r="D38" s="5"/>
      <c r="E38" s="5"/>
      <c r="F38" s="5"/>
      <c r="G38" s="5"/>
    </row>
    <row r="39" customFormat="false" ht="15" hidden="false" customHeight="false" outlineLevel="0" collapsed="false">
      <c r="A39" s="12" t="n">
        <v>4</v>
      </c>
      <c r="B39" s="8" t="s">
        <v>524</v>
      </c>
      <c r="C39" s="5"/>
      <c r="D39" s="5"/>
      <c r="E39" s="5"/>
      <c r="F39" s="5"/>
      <c r="G39" s="5"/>
    </row>
    <row r="40" customFormat="false" ht="15" hidden="false" customHeight="false" outlineLevel="0" collapsed="false">
      <c r="A40" s="12" t="n">
        <v>5</v>
      </c>
      <c r="B40" s="8" t="s">
        <v>525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A41" s="12" t="n">
        <v>6</v>
      </c>
      <c r="B41" s="8" t="s">
        <v>526</v>
      </c>
      <c r="C41" s="5"/>
      <c r="D41" s="5"/>
      <c r="E41" s="5"/>
      <c r="F41" s="5"/>
      <c r="G41" s="5"/>
    </row>
    <row r="42" customFormat="false" ht="15" hidden="false" customHeight="false" outlineLevel="0" collapsed="false">
      <c r="A42" s="12" t="n">
        <v>7</v>
      </c>
      <c r="B42" s="8" t="s">
        <v>527</v>
      </c>
      <c r="C42" s="5"/>
      <c r="D42" s="5"/>
      <c r="E42" s="5"/>
      <c r="F42" s="5"/>
      <c r="G42" s="5"/>
    </row>
    <row r="43" customFormat="false" ht="15" hidden="false" customHeight="false" outlineLevel="0" collapsed="false">
      <c r="A43" s="12" t="n">
        <v>8</v>
      </c>
      <c r="B43" s="12" t="s">
        <v>528</v>
      </c>
      <c r="C43" s="5"/>
      <c r="D43" s="5"/>
      <c r="E43" s="5"/>
      <c r="F43" s="5"/>
      <c r="G43" s="5"/>
    </row>
    <row r="44" customFormat="false" ht="15" hidden="false" customHeight="false" outlineLevel="0" collapsed="false">
      <c r="A44" s="12" t="n">
        <v>9</v>
      </c>
      <c r="B44" s="8" t="s">
        <v>529</v>
      </c>
      <c r="C44" s="5"/>
      <c r="D44" s="5"/>
      <c r="E44" s="5"/>
      <c r="F44" s="5"/>
      <c r="G44" s="5"/>
    </row>
    <row r="45" customFormat="false" ht="15" hidden="false" customHeight="false" outlineLevel="0" collapsed="false">
      <c r="A45" s="12" t="n">
        <v>10</v>
      </c>
      <c r="B45" s="8" t="s">
        <v>530</v>
      </c>
      <c r="C45" s="5"/>
      <c r="D45" s="5"/>
      <c r="E45" s="5"/>
      <c r="F45" s="5"/>
      <c r="G45" s="5"/>
    </row>
    <row r="46" customFormat="false" ht="15" hidden="false" customHeight="false" outlineLevel="0" collapsed="false">
      <c r="A46" s="12" t="n">
        <v>11</v>
      </c>
      <c r="B46" s="8" t="s">
        <v>531</v>
      </c>
      <c r="C46" s="5"/>
      <c r="D46" s="5"/>
      <c r="E46" s="5"/>
      <c r="F46" s="5"/>
      <c r="G46" s="5"/>
    </row>
    <row r="47" customFormat="false" ht="15" hidden="false" customHeight="false" outlineLevel="0" collapsed="false">
      <c r="A47" s="12" t="n">
        <v>12</v>
      </c>
      <c r="B47" s="8" t="s">
        <v>532</v>
      </c>
      <c r="C47" s="5"/>
      <c r="D47" s="5"/>
      <c r="E47" s="5"/>
      <c r="F47" s="5"/>
      <c r="G47" s="5"/>
    </row>
    <row r="48" customFormat="false" ht="15" hidden="false" customHeight="false" outlineLevel="0" collapsed="false">
      <c r="A48" s="12" t="n">
        <v>13</v>
      </c>
      <c r="B48" s="8" t="s">
        <v>533</v>
      </c>
      <c r="C48" s="5"/>
      <c r="D48" s="5"/>
      <c r="E48" s="5"/>
      <c r="F48" s="5"/>
      <c r="G48" s="5"/>
    </row>
    <row r="49" customFormat="false" ht="15" hidden="false" customHeight="false" outlineLevel="0" collapsed="false">
      <c r="A49" s="12" t="n">
        <v>14</v>
      </c>
      <c r="B49" s="8" t="s">
        <v>534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A50" s="12" t="n">
        <v>15</v>
      </c>
      <c r="B50" s="8" t="s">
        <v>535</v>
      </c>
      <c r="C50" s="5"/>
      <c r="D50" s="5"/>
      <c r="E50" s="5"/>
      <c r="F50" s="5"/>
      <c r="G50" s="5"/>
    </row>
    <row r="51" customFormat="false" ht="15" hidden="false" customHeight="false" outlineLevel="0" collapsed="false">
      <c r="A51" s="12" t="n">
        <v>16</v>
      </c>
      <c r="B51" s="8" t="s">
        <v>536</v>
      </c>
      <c r="C51" s="5"/>
      <c r="D51" s="5"/>
      <c r="E51" s="5"/>
      <c r="F51" s="5"/>
      <c r="G51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2" min="11" style="0" width="9"/>
    <col collapsed="false" customWidth="true" hidden="false" outlineLevel="0" max="13" min="13" style="0" width="13"/>
  </cols>
  <sheetData>
    <row r="1" customFormat="false" ht="16.4" hidden="false" customHeight="false" outlineLevel="0" collapsed="false">
      <c r="A1" s="4" t="s">
        <v>537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15" hidden="false" customHeight="fals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customFormat="false" ht="15" hidden="false" customHeight="false" outlineLevel="0" collapsed="false">
      <c r="A3" s="7" t="s">
        <v>219</v>
      </c>
      <c r="B3" s="7" t="s">
        <v>538</v>
      </c>
      <c r="C3" s="7" t="s">
        <v>539</v>
      </c>
      <c r="D3" s="7" t="s">
        <v>540</v>
      </c>
      <c r="E3" s="7" t="s">
        <v>32</v>
      </c>
      <c r="F3" s="5"/>
      <c r="G3" s="5"/>
      <c r="H3" s="5"/>
      <c r="I3" s="5"/>
      <c r="J3" s="5"/>
      <c r="K3" s="5"/>
      <c r="L3" s="5"/>
      <c r="M3" s="5"/>
    </row>
    <row r="4" customFormat="false" ht="15" hidden="false" customHeight="false" outlineLevel="0" collapsed="false">
      <c r="A4" s="44" t="n">
        <v>46326</v>
      </c>
      <c r="B4" s="8" t="s">
        <v>541</v>
      </c>
      <c r="C4" s="30" t="n">
        <v>0.718055555555556</v>
      </c>
      <c r="D4" s="30" t="n">
        <v>0.736805555555556</v>
      </c>
      <c r="E4" s="8" t="s">
        <v>64</v>
      </c>
      <c r="F4" s="5"/>
      <c r="G4" s="5"/>
      <c r="H4" s="5"/>
      <c r="I4" s="5"/>
      <c r="J4" s="5"/>
      <c r="K4" s="5"/>
      <c r="L4" s="5"/>
      <c r="M4" s="5"/>
    </row>
    <row r="5" customFormat="false" ht="15" hidden="false" customHeight="false" outlineLevel="0" collapsed="false">
      <c r="A5" s="44" t="n">
        <v>46327</v>
      </c>
      <c r="B5" s="8" t="s">
        <v>541</v>
      </c>
      <c r="C5" s="30" t="n">
        <v>0.717361111111111</v>
      </c>
      <c r="D5" s="30" t="n">
        <v>0.736111111111111</v>
      </c>
      <c r="E5" s="8" t="s">
        <v>64</v>
      </c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A6" s="44" t="n">
        <v>46329</v>
      </c>
      <c r="B6" s="8" t="s">
        <v>541</v>
      </c>
      <c r="C6" s="30" t="n">
        <v>0.715972222222222</v>
      </c>
      <c r="D6" s="30" t="n">
        <v>0.734722222222222</v>
      </c>
      <c r="E6" s="8" t="s">
        <v>64</v>
      </c>
      <c r="F6" s="5"/>
      <c r="G6" s="5"/>
      <c r="H6" s="5"/>
      <c r="I6" s="5"/>
      <c r="J6" s="5"/>
      <c r="K6" s="5"/>
      <c r="L6" s="5"/>
      <c r="M6" s="5"/>
    </row>
    <row r="7" customFormat="false" ht="15" hidden="false" customHeight="false" outlineLevel="0" collapsed="false">
      <c r="A7" s="44" t="n">
        <v>46333</v>
      </c>
      <c r="B7" s="8" t="s">
        <v>542</v>
      </c>
      <c r="C7" s="30" t="n">
        <v>0.713888888888889</v>
      </c>
      <c r="D7" s="30" t="n">
        <v>0.733333333333333</v>
      </c>
      <c r="E7" s="8" t="s">
        <v>64</v>
      </c>
      <c r="F7" s="5"/>
      <c r="G7" s="5"/>
      <c r="H7" s="5"/>
      <c r="I7" s="5"/>
      <c r="J7" s="5"/>
      <c r="K7" s="5"/>
      <c r="L7" s="5"/>
      <c r="M7" s="5"/>
    </row>
    <row r="8" customFormat="false" ht="15" hidden="false" customHeight="false" outlineLevel="0" collapsed="false">
      <c r="A8" s="44" t="n">
        <v>46334</v>
      </c>
      <c r="B8" s="8" t="s">
        <v>542</v>
      </c>
      <c r="C8" s="30" t="n">
        <v>0.713888888888889</v>
      </c>
      <c r="D8" s="30" t="n">
        <v>0.732638888888889</v>
      </c>
      <c r="E8" s="8" t="s">
        <v>64</v>
      </c>
      <c r="F8" s="5"/>
      <c r="G8" s="5"/>
      <c r="H8" s="5"/>
      <c r="I8" s="5"/>
      <c r="J8" s="5"/>
      <c r="K8" s="5"/>
      <c r="L8" s="5"/>
      <c r="M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customFormat="false" ht="26.85" hidden="false" customHeight="false" outlineLevel="0" collapsed="false">
      <c r="A10" s="7" t="s">
        <v>543</v>
      </c>
      <c r="B10" s="7" t="s">
        <v>544</v>
      </c>
      <c r="C10" s="7" t="s">
        <v>545</v>
      </c>
      <c r="D10" s="7" t="s">
        <v>546</v>
      </c>
      <c r="E10" s="7" t="s">
        <v>32</v>
      </c>
      <c r="F10" s="5"/>
      <c r="G10" s="5"/>
      <c r="H10" s="5"/>
      <c r="I10" s="5"/>
      <c r="J10" s="5"/>
      <c r="K10" s="5"/>
      <c r="L10" s="5"/>
      <c r="M10" s="5"/>
    </row>
    <row r="11" customFormat="false" ht="15" hidden="false" customHeight="false" outlineLevel="0" collapsed="false">
      <c r="A11" s="8" t="s">
        <v>547</v>
      </c>
      <c r="B11" s="9" t="n">
        <v>-90</v>
      </c>
      <c r="C11" s="9" t="n">
        <v>0</v>
      </c>
      <c r="D11" s="8" t="s">
        <v>548</v>
      </c>
      <c r="E11" s="8" t="s">
        <v>35</v>
      </c>
      <c r="F11" s="5"/>
      <c r="G11" s="5"/>
      <c r="H11" s="5"/>
      <c r="I11" s="5"/>
      <c r="J11" s="5"/>
      <c r="K11" s="5"/>
      <c r="L11" s="5"/>
      <c r="M11" s="5"/>
    </row>
    <row r="12" customFormat="false" ht="15" hidden="false" customHeight="false" outlineLevel="0" collapsed="false">
      <c r="A12" s="8" t="s">
        <v>549</v>
      </c>
      <c r="B12" s="9" t="n">
        <v>-15</v>
      </c>
      <c r="C12" s="9" t="n">
        <v>20</v>
      </c>
      <c r="D12" s="8" t="s">
        <v>550</v>
      </c>
      <c r="E12" s="8" t="s">
        <v>35</v>
      </c>
      <c r="F12" s="5"/>
      <c r="G12" s="5"/>
      <c r="H12" s="5"/>
      <c r="I12" s="5"/>
      <c r="J12" s="5"/>
      <c r="K12" s="5"/>
      <c r="L12" s="5"/>
      <c r="M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customFormat="false" ht="26.85" hidden="false" customHeight="false" outlineLevel="0" collapsed="false">
      <c r="A14" s="14" t="s">
        <v>94</v>
      </c>
      <c r="B14" s="7" t="s">
        <v>219</v>
      </c>
      <c r="C14" s="7" t="s">
        <v>223</v>
      </c>
      <c r="D14" s="7" t="s">
        <v>551</v>
      </c>
      <c r="E14" s="7" t="s">
        <v>255</v>
      </c>
      <c r="F14" s="7" t="s">
        <v>256</v>
      </c>
      <c r="G14" s="7" t="s">
        <v>539</v>
      </c>
      <c r="H14" s="7" t="s">
        <v>552</v>
      </c>
      <c r="I14" s="7" t="s">
        <v>553</v>
      </c>
      <c r="J14" s="7" t="s">
        <v>554</v>
      </c>
      <c r="K14" s="7" t="s">
        <v>555</v>
      </c>
      <c r="L14" s="7" t="s">
        <v>556</v>
      </c>
      <c r="M14" s="7" t="s">
        <v>557</v>
      </c>
    </row>
    <row r="15" customFormat="false" ht="15" hidden="false" customHeight="false" outlineLevel="0" collapsed="false">
      <c r="A15" s="12" t="s">
        <v>342</v>
      </c>
      <c r="B15" s="44" t="n">
        <v>46329</v>
      </c>
      <c r="C15" s="8" t="s">
        <v>344</v>
      </c>
      <c r="D15" s="25" t="s">
        <v>549</v>
      </c>
      <c r="E15" s="43" t="n">
        <f aca="false">INDEX(シーン見積!$AL$4:$AL$25,MATCH("17",シーン見積!$A$4:$A$25,0))</f>
        <v>0.6875</v>
      </c>
      <c r="F15" s="43" t="n">
        <f aca="false">INDEX(シーン見積!$AM$4:$AM$25,MATCH("17",シーン見積!$A$4:$A$25,0))</f>
        <v>0.708333333333333</v>
      </c>
      <c r="G15" s="32" t="n">
        <f aca="false">INDEX($C$4:$C$8,MATCH(B15,$A$4:$A$8,0))</f>
        <v>0.715972222222222</v>
      </c>
      <c r="H15" s="32" t="n">
        <f aca="false">G15+INDEX($B$11:$B$12,MATCH(D15,$A$11:$A$12,0))/1440</f>
        <v>0.705555555555556</v>
      </c>
      <c r="I15" s="32" t="n">
        <f aca="false">G15+INDEX($C$11:$C$12,MATCH(D15,$A$11:$A$12,0))/1440</f>
        <v>0.729861111111111</v>
      </c>
      <c r="J15" s="8" t="str">
        <f aca="false">IF(E15="","",IF(AND(E15&gt;=H15-1/2880,F15&lt;=I15+1/2880),"OK",IF(OR(F15&lt;=H15,E15&gt;=I15),"ずれ","一部ずれ")))</f>
        <v>一部ずれ</v>
      </c>
      <c r="K15" s="43" t="n">
        <f aca="false">INDEX(改訂スケジュール!$G$5:$G$64,MATCH("S17",改訂スケジュール!$C$5:$C$64,0))</f>
        <v>0.7125</v>
      </c>
      <c r="L15" s="43" t="n">
        <f aca="false">INDEX(改訂スケジュール!$H$5:$H$64,MATCH("S17",改訂スケジュール!$C$5:$C$64,0))</f>
        <v>0.724305555555556</v>
      </c>
      <c r="M15" s="12" t="str">
        <f aca="false">IF(K15="","",IF(AND(K15&gt;=H15-1/2880,L15&lt;=I15+1/2880),"OK",IF(OR(L15&lt;=H15,K15&gt;=I15),"ずれ","一部ずれ")))</f>
        <v>OK</v>
      </c>
    </row>
    <row r="16" customFormat="false" ht="15" hidden="false" customHeight="false" outlineLevel="0" collapsed="false">
      <c r="A16" s="12" t="s">
        <v>335</v>
      </c>
      <c r="B16" s="44" t="n">
        <v>46329</v>
      </c>
      <c r="C16" s="8" t="s">
        <v>338</v>
      </c>
      <c r="D16" s="25" t="s">
        <v>547</v>
      </c>
      <c r="E16" s="43" t="n">
        <f aca="false">INDEX(シーン見積!$AL$4:$AL$25,MATCH("19",シーン見積!$A$4:$A$25,0))</f>
        <v>0.635416666666667</v>
      </c>
      <c r="F16" s="43" t="n">
        <f aca="false">INDEX(シーン見積!$AM$4:$AM$25,MATCH("19",シーン見積!$A$4:$A$25,0))</f>
        <v>0.6875</v>
      </c>
      <c r="G16" s="32" t="n">
        <f aca="false">INDEX($C$4:$C$8,MATCH(B16,$A$4:$A$8,0))</f>
        <v>0.715972222222222</v>
      </c>
      <c r="H16" s="32" t="n">
        <f aca="false">G16+INDEX($B$11:$B$12,MATCH(D16,$A$11:$A$12,0))/1440</f>
        <v>0.653472222222222</v>
      </c>
      <c r="I16" s="32" t="n">
        <f aca="false">G16+INDEX($C$11:$C$12,MATCH(D16,$A$11:$A$12,0))/1440</f>
        <v>0.715972222222222</v>
      </c>
      <c r="J16" s="8" t="str">
        <f aca="false">IF(E16="","",IF(AND(E16&gt;=H16-1/2880,F16&lt;=I16+1/2880),"OK",IF(OR(F16&lt;=H16,E16&gt;=I16),"ずれ","一部ずれ")))</f>
        <v>一部ずれ</v>
      </c>
      <c r="K16" s="43" t="n">
        <f aca="false">INDEX(改訂スケジュール!$G$5:$G$64,MATCH("S19",改訂スケジュール!$C$5:$C$64,0))</f>
        <v>0.661805555555556</v>
      </c>
      <c r="L16" s="43" t="n">
        <f aca="false">INDEX(改訂スケジュール!$H$5:$H$64,MATCH("S19",改訂スケジュール!$C$5:$C$64,0))</f>
        <v>0.704166666666667</v>
      </c>
      <c r="M16" s="12" t="str">
        <f aca="false">IF(K16="","",IF(AND(K16&gt;=H16-1/2880,L16&lt;=I16+1/2880),"OK",IF(OR(L16&lt;=H16,K16&gt;=I16),"ずれ","一部ずれ")))</f>
        <v>OK</v>
      </c>
    </row>
    <row r="17" customFormat="false" ht="15" hidden="false" customHeight="false" outlineLevel="0" collapsed="false">
      <c r="A17" s="12" t="s">
        <v>346</v>
      </c>
      <c r="B17" s="44" t="n">
        <v>46333</v>
      </c>
      <c r="C17" s="8" t="s">
        <v>338</v>
      </c>
      <c r="D17" s="25" t="s">
        <v>547</v>
      </c>
      <c r="E17" s="43" t="n">
        <f aca="false">INDEX(シーン見積!$AL$4:$AL$25,MATCH("20",シーン見積!$A$4:$A$25,0))</f>
        <v>0.458333333333333</v>
      </c>
      <c r="F17" s="43" t="n">
        <f aca="false">INDEX(シーン見積!$AM$4:$AM$25,MATCH("20",シーン見積!$A$4:$A$25,0))</f>
        <v>0.479166666666667</v>
      </c>
      <c r="G17" s="32" t="n">
        <f aca="false">INDEX($C$4:$C$8,MATCH(B17,$A$4:$A$8,0))</f>
        <v>0.713888888888889</v>
      </c>
      <c r="H17" s="32" t="n">
        <f aca="false">G17+INDEX($B$11:$B$12,MATCH(D17,$A$11:$A$12,0))/1440</f>
        <v>0.651388888888889</v>
      </c>
      <c r="I17" s="32" t="n">
        <f aca="false">G17+INDEX($C$11:$C$12,MATCH(D17,$A$11:$A$12,0))/1440</f>
        <v>0.713888888888889</v>
      </c>
      <c r="J17" s="8" t="str">
        <f aca="false">IF(E17="","",IF(AND(E17&gt;=H17-1/2880,F17&lt;=I17+1/2880),"OK",IF(OR(F17&lt;=H17,E17&gt;=I17),"ずれ","一部ずれ")))</f>
        <v>ずれ</v>
      </c>
      <c r="K17" s="43" t="n">
        <f aca="false">INDEX(改訂スケジュール!$G$5:$G$64,MATCH("S20",改訂スケジュール!$C$5:$C$64,0))</f>
        <v>0.529166666666667</v>
      </c>
      <c r="L17" s="43" t="n">
        <f aca="false">INDEX(改訂スケジュール!$H$5:$H$64,MATCH("S20",改訂スケジュール!$C$5:$C$64,0))</f>
        <v>0.555555555555556</v>
      </c>
      <c r="M17" s="12" t="str">
        <f aca="false">IF(K17="","",IF(AND(K17&gt;=H17-1/2880,L17&lt;=I17+1/2880),"OK",IF(OR(L17&lt;=H17,K17&gt;=I17),"ずれ","一部ずれ")))</f>
        <v>ずれ</v>
      </c>
    </row>
    <row r="18" customFormat="false" ht="15" hidden="false" customHeight="false" outlineLevel="0" collapsed="false">
      <c r="A18" s="12" t="s">
        <v>352</v>
      </c>
      <c r="B18" s="44" t="n">
        <v>46333</v>
      </c>
      <c r="C18" s="8" t="s">
        <v>338</v>
      </c>
      <c r="D18" s="25" t="s">
        <v>547</v>
      </c>
      <c r="E18" s="43" t="n">
        <f aca="false">INDEX(シーン見積!$AL$4:$AL$25,MATCH("21",シーン見積!$A$4:$A$25,0))</f>
        <v>0.604166666666667</v>
      </c>
      <c r="F18" s="43" t="n">
        <f aca="false">INDEX(シーン見積!$AM$4:$AM$25,MATCH("21",シーン見積!$A$4:$A$25,0))</f>
        <v>0.65625</v>
      </c>
      <c r="G18" s="32" t="n">
        <f aca="false">INDEX($C$4:$C$8,MATCH(B18,$A$4:$A$8,0))</f>
        <v>0.713888888888889</v>
      </c>
      <c r="H18" s="32" t="n">
        <f aca="false">G18+INDEX($B$11:$B$12,MATCH(D18,$A$11:$A$12,0))/1440</f>
        <v>0.651388888888889</v>
      </c>
      <c r="I18" s="32" t="n">
        <f aca="false">G18+INDEX($C$11:$C$12,MATCH(D18,$A$11:$A$12,0))/1440</f>
        <v>0.713888888888889</v>
      </c>
      <c r="J18" s="8" t="str">
        <f aca="false">IF(E18="","",IF(AND(E18&gt;=H18-1/2880,F18&lt;=I18+1/2880),"OK",IF(OR(F18&lt;=H18,E18&gt;=I18),"ずれ","一部ずれ")))</f>
        <v>一部ずれ</v>
      </c>
      <c r="K18" s="43" t="n">
        <f aca="false">INDEX(改訂スケジュール!$G$5:$G$64,MATCH("S21",改訂スケジュール!$C$5:$C$64,0))</f>
        <v>0.611111111111111</v>
      </c>
      <c r="L18" s="43" t="n">
        <f aca="false">INDEX(改訂スケジュール!$H$5:$H$64,MATCH("S21",改訂スケジュール!$C$5:$C$64,0))</f>
        <v>0.652083333333333</v>
      </c>
      <c r="M18" s="12" t="str">
        <f aca="false">IF(K18="","",IF(AND(K18&gt;=H18-1/2880,L18&lt;=I18+1/2880),"OK",IF(OR(L18&lt;=H18,K18&gt;=I18),"ずれ","一部ずれ")))</f>
        <v>一部ずれ</v>
      </c>
    </row>
    <row r="19" customFormat="false" ht="15" hidden="false" customHeight="false" outlineLevel="0" collapsed="false">
      <c r="A19" s="12" t="s">
        <v>355</v>
      </c>
      <c r="B19" s="44" t="n">
        <v>46333</v>
      </c>
      <c r="C19" s="8" t="s">
        <v>338</v>
      </c>
      <c r="D19" s="25" t="s">
        <v>547</v>
      </c>
      <c r="E19" s="43" t="n">
        <f aca="false">INDEX(シーン見積!$AL$4:$AL$25,MATCH("22",シーン見積!$A$4:$A$25,0))</f>
        <v>0.670138888888889</v>
      </c>
      <c r="F19" s="43" t="n">
        <f aca="false">INDEX(シーン見積!$AM$4:$AM$25,MATCH("22",シーン見積!$A$4:$A$25,0))</f>
        <v>0.680555555555556</v>
      </c>
      <c r="G19" s="32" t="n">
        <f aca="false">INDEX($C$4:$C$8,MATCH(B19,$A$4:$A$8,0))</f>
        <v>0.713888888888889</v>
      </c>
      <c r="H19" s="32" t="n">
        <f aca="false">G19+INDEX($B$11:$B$12,MATCH(D19,$A$11:$A$12,0))/1440</f>
        <v>0.651388888888889</v>
      </c>
      <c r="I19" s="32" t="n">
        <f aca="false">G19+INDEX($C$11:$C$12,MATCH(D19,$A$11:$A$12,0))/1440</f>
        <v>0.713888888888889</v>
      </c>
      <c r="J19" s="8" t="str">
        <f aca="false">IF(E19="","",IF(AND(E19&gt;=H19-1/2880,F19&lt;=I19+1/2880),"OK",IF(OR(F19&lt;=H19,E19&gt;=I19),"ずれ","一部ずれ")))</f>
        <v>OK</v>
      </c>
      <c r="K19" s="43" t="n">
        <f aca="false">INDEX(改訂スケジュール!$G$5:$G$64,MATCH("S22",改訂スケジュール!$C$5:$C$64,0))</f>
        <v>0.665972222222222</v>
      </c>
      <c r="L19" s="43" t="n">
        <f aca="false">INDEX(改訂スケジュール!$H$5:$H$64,MATCH("S22",改訂スケジュール!$C$5:$C$64,0))</f>
        <v>0.704166666666667</v>
      </c>
      <c r="M19" s="12" t="str">
        <f aca="false">IF(K19="","",IF(AND(K19&gt;=H19-1/2880,L19&lt;=I19+1/2880),"OK",IF(OR(L19&lt;=H19,K19&gt;=I19),"ずれ","一部ずれ")))</f>
        <v>OK</v>
      </c>
    </row>
    <row r="20" customFormat="false" ht="15" hidden="false" customHeight="false" outlineLevel="0" collapsed="false">
      <c r="A20" s="12" t="s">
        <v>358</v>
      </c>
      <c r="B20" s="44" t="n">
        <v>46333</v>
      </c>
      <c r="C20" s="8" t="s">
        <v>344</v>
      </c>
      <c r="D20" s="25" t="s">
        <v>549</v>
      </c>
      <c r="E20" s="43" t="n">
        <f aca="false">INDEX(シーン見積!$AL$4:$AL$25,MATCH("1",シーン見積!$A$4:$A$25,0))</f>
        <v>0.6875</v>
      </c>
      <c r="F20" s="43" t="n">
        <f aca="false">INDEX(シーン見積!$AM$4:$AM$25,MATCH("1",シーン見積!$A$4:$A$25,0))</f>
        <v>0.71875</v>
      </c>
      <c r="G20" s="32" t="n">
        <f aca="false">INDEX($C$4:$C$8,MATCH(B20,$A$4:$A$8,0))</f>
        <v>0.713888888888889</v>
      </c>
      <c r="H20" s="32" t="n">
        <f aca="false">G20+INDEX($B$11:$B$12,MATCH(D20,$A$11:$A$12,0))/1440</f>
        <v>0.703472222222222</v>
      </c>
      <c r="I20" s="32" t="n">
        <f aca="false">G20+INDEX($C$11:$C$12,MATCH(D20,$A$11:$A$12,0))/1440</f>
        <v>0.727777777777778</v>
      </c>
      <c r="J20" s="8" t="str">
        <f aca="false">IF(E20="","",IF(AND(E20&gt;=H20-1/2880,F20&lt;=I20+1/2880),"OK",IF(OR(F20&lt;=H20,E20&gt;=I20),"ずれ","一部ずれ")))</f>
        <v>一部ずれ</v>
      </c>
      <c r="K20" s="43" t="n">
        <f aca="false">INDEX(改訂スケジュール!$G$5:$G$64,MATCH("S1",改訂スケジュール!$C$5:$C$64,0))</f>
        <v>0.707638888888889</v>
      </c>
      <c r="L20" s="43" t="n">
        <f aca="false">INDEX(改訂スケジュール!$H$5:$H$64,MATCH("S1",改訂スケジュール!$C$5:$C$64,0))</f>
        <v>0.725</v>
      </c>
      <c r="M20" s="12" t="str">
        <f aca="false">IF(K20="","",IF(AND(K20&gt;=H20-1/2880,L20&lt;=I20+1/2880),"OK",IF(OR(L20&lt;=H20,K20&gt;=I20),"ずれ","一部ずれ")))</f>
        <v>OK</v>
      </c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customFormat="false" ht="15" hidden="false" customHeight="false" outlineLevel="0" collapsed="false">
      <c r="A22" s="21" t="s">
        <v>558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</sheetData>
  <conditionalFormatting sqref="J15:J20">
    <cfRule type="cellIs" priority="2" operator="equal" aboveAverage="0" equalAverage="0" bottom="0" percent="0" rank="0" text="" dxfId="1">
      <formula>"不足"</formula>
    </cfRule>
    <cfRule type="cellIs" priority="3" operator="equal" aboveAverage="0" equalAverage="0" bottom="0" percent="0" rank="0" text="" dxfId="1">
      <formula>"超過"</formula>
    </cfRule>
    <cfRule type="cellIs" priority="4" operator="equal" aboveAverage="0" equalAverage="0" bottom="0" percent="0" rank="0" text="" dxfId="1">
      <formula>"ずれ"</formula>
    </cfRule>
    <cfRule type="cellIs" priority="5" operator="equal" aboveAverage="0" equalAverage="0" bottom="0" percent="0" rank="0" text="" dxfId="1">
      <formula>"超える"</formula>
    </cfRule>
    <cfRule type="cellIs" priority="6" operator="equal" aboveAverage="0" equalAverage="0" bottom="0" percent="0" rank="0" text="" dxfId="2">
      <formula>"ギリギリ"</formula>
    </cfRule>
    <cfRule type="cellIs" priority="7" operator="equal" aboveAverage="0" equalAverage="0" bottom="0" percent="0" rank="0" text="" dxfId="2">
      <formula>"条件付き"</formula>
    </cfRule>
    <cfRule type="cellIs" priority="8" operator="equal" aboveAverage="0" equalAverage="0" bottom="0" percent="0" rank="0" text="" dxfId="2">
      <formula>"一部ずれ"</formula>
    </cfRule>
    <cfRule type="cellIs" priority="9" operator="equal" aboveAverage="0" equalAverage="0" bottom="0" percent="0" rank="0" text="" dxfId="0">
      <formula>"余裕あり"</formula>
    </cfRule>
    <cfRule type="cellIs" priority="10" operator="equal" aboveAverage="0" equalAverage="0" bottom="0" percent="0" rank="0" text="" dxfId="0">
      <formula>"収まる"</formula>
    </cfRule>
    <cfRule type="cellIs" priority="11" operator="equal" aboveAverage="0" equalAverage="0" bottom="0" percent="0" rank="0" text="" dxfId="0">
      <formula>"OK"</formula>
    </cfRule>
  </conditionalFormatting>
  <conditionalFormatting sqref="M15:M20">
    <cfRule type="cellIs" priority="12" operator="equal" aboveAverage="0" equalAverage="0" bottom="0" percent="0" rank="0" text="" dxfId="1">
      <formula>"不足"</formula>
    </cfRule>
    <cfRule type="cellIs" priority="13" operator="equal" aboveAverage="0" equalAverage="0" bottom="0" percent="0" rank="0" text="" dxfId="1">
      <formula>"超過"</formula>
    </cfRule>
    <cfRule type="cellIs" priority="14" operator="equal" aboveAverage="0" equalAverage="0" bottom="0" percent="0" rank="0" text="" dxfId="1">
      <formula>"ずれ"</formula>
    </cfRule>
    <cfRule type="cellIs" priority="15" operator="equal" aboveAverage="0" equalAverage="0" bottom="0" percent="0" rank="0" text="" dxfId="1">
      <formula>"超える"</formula>
    </cfRule>
    <cfRule type="cellIs" priority="16" operator="equal" aboveAverage="0" equalAverage="0" bottom="0" percent="0" rank="0" text="" dxfId="2">
      <formula>"ギリギリ"</formula>
    </cfRule>
    <cfRule type="cellIs" priority="17" operator="equal" aboveAverage="0" equalAverage="0" bottom="0" percent="0" rank="0" text="" dxfId="2">
      <formula>"条件付き"</formula>
    </cfRule>
    <cfRule type="cellIs" priority="18" operator="equal" aboveAverage="0" equalAverage="0" bottom="0" percent="0" rank="0" text="" dxfId="2">
      <formula>"一部ずれ"</formula>
    </cfRule>
    <cfRule type="cellIs" priority="19" operator="equal" aboveAverage="0" equalAverage="0" bottom="0" percent="0" rank="0" text="" dxfId="0">
      <formula>"余裕あり"</formula>
    </cfRule>
    <cfRule type="cellIs" priority="20" operator="equal" aboveAverage="0" equalAverage="0" bottom="0" percent="0" rank="0" text="" dxfId="0">
      <formula>"収まる"</formula>
    </cfRule>
    <cfRule type="cellIs" priority="21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3" min="1" style="0" width="9.51"/>
  </cols>
  <sheetData>
    <row r="1" customFormat="false" ht="15" hidden="false" customHeight="false" outlineLevel="0" collapsed="false">
      <c r="A1" s="4" t="s">
        <v>559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customFormat="false" ht="15" hidden="false" customHeight="false" outlineLevel="0" collapsed="false">
      <c r="A2" s="6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customFormat="false" ht="45" hidden="false" customHeight="true" outlineLevel="0" collapsed="false">
      <c r="A4" s="7" t="s">
        <v>220</v>
      </c>
      <c r="B4" s="7" t="s">
        <v>219</v>
      </c>
      <c r="C4" s="7" t="s">
        <v>561</v>
      </c>
      <c r="D4" s="7" t="s">
        <v>462</v>
      </c>
      <c r="E4" s="7" t="s">
        <v>562</v>
      </c>
      <c r="F4" s="7" t="s">
        <v>563</v>
      </c>
      <c r="G4" s="7" t="s">
        <v>564</v>
      </c>
      <c r="H4" s="7" t="s">
        <v>565</v>
      </c>
      <c r="I4" s="7" t="s">
        <v>566</v>
      </c>
      <c r="J4" s="7" t="s">
        <v>567</v>
      </c>
      <c r="K4" s="7" t="s">
        <v>568</v>
      </c>
      <c r="L4" s="7" t="s">
        <v>569</v>
      </c>
      <c r="M4" s="7" t="s">
        <v>570</v>
      </c>
      <c r="N4" s="7" t="s">
        <v>571</v>
      </c>
      <c r="O4" s="7" t="s">
        <v>572</v>
      </c>
      <c r="P4" s="7" t="s">
        <v>573</v>
      </c>
      <c r="Q4" s="7" t="s">
        <v>574</v>
      </c>
      <c r="R4" s="7" t="s">
        <v>575</v>
      </c>
      <c r="S4" s="7" t="s">
        <v>576</v>
      </c>
      <c r="T4" s="7" t="s">
        <v>577</v>
      </c>
      <c r="U4" s="7" t="s">
        <v>578</v>
      </c>
      <c r="V4" s="7" t="s">
        <v>465</v>
      </c>
      <c r="W4" s="7" t="s">
        <v>466</v>
      </c>
    </row>
    <row r="5" customFormat="false" ht="15" hidden="false" customHeight="false" outlineLevel="0" collapsed="false">
      <c r="A5" s="15" t="s">
        <v>263</v>
      </c>
      <c r="B5" s="44" t="n">
        <v>46326</v>
      </c>
      <c r="C5" s="30" t="n">
        <v>0.479166666666667</v>
      </c>
      <c r="D5" s="30" t="n">
        <v>0.708333333333333</v>
      </c>
      <c r="E5" s="12" t="n">
        <f aca="false">係数!$B$21*1</f>
        <v>50</v>
      </c>
      <c r="F5" s="12" t="n">
        <f aca="false">ROUND((D5-C5)*1440,0)-E5</f>
        <v>280</v>
      </c>
      <c r="G5" s="12" t="n">
        <f aca="false">SUMIFS(シーン見積!$G$4:$G$25,シーン見積!$C$4:$C$25,A5)</f>
        <v>200</v>
      </c>
      <c r="H5" s="12" t="n">
        <f aca="false">SUMIFS(移動!$G$16:$G$32,移動!$A$16:$A$32,A5)</f>
        <v>20</v>
      </c>
      <c r="I5" s="12" t="n">
        <f aca="false">F5-G5-H5</f>
        <v>60</v>
      </c>
      <c r="J5" s="13" t="n">
        <v>2</v>
      </c>
      <c r="K5" s="12" t="n">
        <f aca="false">SUMIFS(シーン見積!$Z$4:$Z$25,シーン見積!$C$4:$C$25,A5)+SUMIFS(移動!$D$16:$D$32,移動!$A$16:$A$32,A5)+J5*係数!$B$14</f>
        <v>100</v>
      </c>
      <c r="L5" s="10" t="n">
        <f aca="false">SUMIFS(シーン見積!$AD$4:$AD$25,シーン見積!$C$4:$C$25,A5)+SUMIFS(移動!$E$16:$E$32,移動!$A$16:$A$32,A5)+J5*係数!$C$14</f>
        <v>176</v>
      </c>
      <c r="M5" s="12" t="n">
        <f aca="false">SUMIFS(シーン見積!$AH$4:$AH$25,シーン見積!$C$4:$C$25,A5)+SUMIFS(移動!$F$16:$F$32,移動!$A$16:$A$32,A5)+J5*係数!$D$14</f>
        <v>263</v>
      </c>
      <c r="N5" s="12" t="n">
        <f aca="false">F5-K5</f>
        <v>180</v>
      </c>
      <c r="O5" s="12" t="n">
        <f aca="false">F5-L5</f>
        <v>104</v>
      </c>
      <c r="P5" s="12" t="n">
        <f aca="false">F5-M5</f>
        <v>17</v>
      </c>
      <c r="Q5" s="45" t="n">
        <f aca="false">IF(I5&gt;0,MAX(0,L5-G5-H5)/I5,"予備なし")</f>
        <v>0</v>
      </c>
      <c r="R5" s="45" t="n">
        <f aca="false">IF(I5&gt;0,MAX(0,M5-G5-H5)/I5,"予備なし")</f>
        <v>0.716666666666667</v>
      </c>
      <c r="S5" s="32" t="n">
        <f aca="false">C5+(E5+K5)/1440</f>
        <v>0.583333333333333</v>
      </c>
      <c r="T5" s="33" t="n">
        <f aca="false">C5+(E5+L5)/1440</f>
        <v>0.636111111111111</v>
      </c>
      <c r="U5" s="32" t="n">
        <f aca="false">C5+(E5+M5)/1440</f>
        <v>0.696527777777778</v>
      </c>
      <c r="V5" s="10" t="str">
        <f aca="false">IF(T5&lt;=D5+1/2880,"収まる",IF(S5&lt;=D5+1/2880,"条件付き","超過"))</f>
        <v>収まる</v>
      </c>
      <c r="W5" s="8" t="str">
        <f aca="false">IF(U5&lt;=D5+1/2880,"収まる","超過")</f>
        <v>収まる</v>
      </c>
    </row>
    <row r="6" customFormat="false" ht="15" hidden="false" customHeight="false" outlineLevel="0" collapsed="false">
      <c r="A6" s="15" t="s">
        <v>285</v>
      </c>
      <c r="B6" s="44" t="n">
        <v>46327</v>
      </c>
      <c r="C6" s="30" t="n">
        <v>0.4375</v>
      </c>
      <c r="D6" s="30" t="n">
        <v>0.635416666666667</v>
      </c>
      <c r="E6" s="12" t="n">
        <f aca="false">係数!$B$21*1</f>
        <v>50</v>
      </c>
      <c r="F6" s="12" t="n">
        <f aca="false">ROUND((D6-C6)*1440,0)-E6</f>
        <v>235</v>
      </c>
      <c r="G6" s="12" t="n">
        <f aca="false">SUMIFS(シーン見積!$G$4:$G$25,シーン見積!$C$4:$C$25,A6)</f>
        <v>185</v>
      </c>
      <c r="H6" s="12" t="n">
        <f aca="false">SUMIFS(移動!$G$16:$G$32,移動!$A$16:$A$32,A6)</f>
        <v>10</v>
      </c>
      <c r="I6" s="12" t="n">
        <f aca="false">F6-G6-H6</f>
        <v>40</v>
      </c>
      <c r="J6" s="13" t="n">
        <v>3</v>
      </c>
      <c r="K6" s="12" t="n">
        <f aca="false">SUMIFS(シーン見積!$Z$4:$Z$25,シーン見積!$C$4:$C$25,A6)+SUMIFS(移動!$D$16:$D$32,移動!$A$16:$A$32,A6)+J6*係数!$B$14</f>
        <v>162</v>
      </c>
      <c r="L6" s="10" t="n">
        <f aca="false">SUMIFS(シーン見積!$AD$4:$AD$25,シーン見積!$C$4:$C$25,A6)+SUMIFS(移動!$E$16:$E$32,移動!$A$16:$A$32,A6)+J6*係数!$C$14</f>
        <v>282</v>
      </c>
      <c r="M6" s="12" t="n">
        <f aca="false">SUMIFS(シーン見積!$AH$4:$AH$25,シーン見積!$C$4:$C$25,A6)+SUMIFS(移動!$F$16:$F$32,移動!$A$16:$A$32,A6)+J6*係数!$D$14</f>
        <v>419</v>
      </c>
      <c r="N6" s="12" t="n">
        <f aca="false">F6-K6</f>
        <v>73</v>
      </c>
      <c r="O6" s="12" t="n">
        <f aca="false">F6-L6</f>
        <v>-47</v>
      </c>
      <c r="P6" s="12" t="n">
        <f aca="false">F6-M6</f>
        <v>-184</v>
      </c>
      <c r="Q6" s="45" t="n">
        <f aca="false">IF(I6&gt;0,MAX(0,L6-G6-H6)/I6,"予備なし")</f>
        <v>2.175</v>
      </c>
      <c r="R6" s="45" t="n">
        <f aca="false">IF(I6&gt;0,MAX(0,M6-G6-H6)/I6,"予備なし")</f>
        <v>5.6</v>
      </c>
      <c r="S6" s="32" t="n">
        <f aca="false">C6+(E6+K6)/1440</f>
        <v>0.584722222222222</v>
      </c>
      <c r="T6" s="33" t="n">
        <f aca="false">C6+(E6+L6)/1440</f>
        <v>0.668055555555556</v>
      </c>
      <c r="U6" s="32" t="n">
        <f aca="false">C6+(E6+M6)/1440</f>
        <v>0.763194444444444</v>
      </c>
      <c r="V6" s="10" t="str">
        <f aca="false">IF(T6&lt;=D6+1/2880,"収まる",IF(S6&lt;=D6+1/2880,"条件付き","超過"))</f>
        <v>条件付き</v>
      </c>
      <c r="W6" s="8" t="str">
        <f aca="false">IF(U6&lt;=D6+1/2880,"収まる","超過")</f>
        <v>超過</v>
      </c>
    </row>
    <row r="7" customFormat="false" ht="15" hidden="false" customHeight="false" outlineLevel="0" collapsed="false">
      <c r="A7" s="15" t="s">
        <v>309</v>
      </c>
      <c r="B7" s="44" t="n">
        <v>46327</v>
      </c>
      <c r="C7" s="30" t="n">
        <v>0.635416666666667</v>
      </c>
      <c r="D7" s="30" t="n">
        <v>0.708333333333333</v>
      </c>
      <c r="E7" s="12" t="n">
        <f aca="false">係数!$B$21*0</f>
        <v>0</v>
      </c>
      <c r="F7" s="12" t="n">
        <f aca="false">ROUND((D7-C7)*1440,0)-E7</f>
        <v>105</v>
      </c>
      <c r="G7" s="12" t="n">
        <f aca="false">SUMIFS(シーン見積!$G$4:$G$25,シーン見積!$C$4:$C$25,A7)</f>
        <v>75</v>
      </c>
      <c r="H7" s="12" t="n">
        <f aca="false">SUMIFS(移動!$G$16:$G$32,移動!$A$16:$A$32,A7)</f>
        <v>0</v>
      </c>
      <c r="I7" s="12" t="n">
        <f aca="false">F7-G7-H7</f>
        <v>30</v>
      </c>
      <c r="J7" s="13" t="n">
        <v>0</v>
      </c>
      <c r="K7" s="12" t="n">
        <f aca="false">SUMIFS(シーン見積!$Z$4:$Z$25,シーン見積!$C$4:$C$25,A7)+SUMIFS(移動!$D$16:$D$32,移動!$A$16:$A$32,A7)+J7*係数!$B$14</f>
        <v>46</v>
      </c>
      <c r="L7" s="10" t="n">
        <f aca="false">SUMIFS(シーン見積!$AD$4:$AD$25,シーン見積!$C$4:$C$25,A7)+SUMIFS(移動!$E$16:$E$32,移動!$A$16:$A$32,A7)+J7*係数!$C$14</f>
        <v>79</v>
      </c>
      <c r="M7" s="12" t="n">
        <f aca="false">SUMIFS(シーン見積!$AH$4:$AH$25,シーン見積!$C$4:$C$25,A7)+SUMIFS(移動!$F$16:$F$32,移動!$A$16:$A$32,A7)+J7*係数!$D$14</f>
        <v>116</v>
      </c>
      <c r="N7" s="12" t="n">
        <f aca="false">F7-K7</f>
        <v>59</v>
      </c>
      <c r="O7" s="12" t="n">
        <f aca="false">F7-L7</f>
        <v>26</v>
      </c>
      <c r="P7" s="12" t="n">
        <f aca="false">F7-M7</f>
        <v>-11</v>
      </c>
      <c r="Q7" s="45" t="n">
        <f aca="false">IF(I7&gt;0,MAX(0,L7-G7-H7)/I7,"予備なし")</f>
        <v>0.133333333333333</v>
      </c>
      <c r="R7" s="45" t="n">
        <f aca="false">IF(I7&gt;0,MAX(0,M7-G7-H7)/I7,"予備なし")</f>
        <v>1.36666666666667</v>
      </c>
      <c r="S7" s="32" t="n">
        <f aca="false">MAX(C7,S6)+(E7+K7)/1440</f>
        <v>0.667361111111111</v>
      </c>
      <c r="T7" s="33" t="n">
        <f aca="false">MAX(C7,T6)+(E7+L7)/1440</f>
        <v>0.722916666666667</v>
      </c>
      <c r="U7" s="32" t="n">
        <f aca="false">MAX(C7,U6)+(E7+M7)/1440</f>
        <v>0.84375</v>
      </c>
      <c r="V7" s="10" t="str">
        <f aca="false">IF(T7&lt;=D7+1/2880,"収まる",IF(S7&lt;=D7+1/2880,"条件付き","超過"))</f>
        <v>条件付き</v>
      </c>
      <c r="W7" s="8" t="str">
        <f aca="false">IF(U7&lt;=D7+1/2880,"収まる","超過")</f>
        <v>超過</v>
      </c>
    </row>
    <row r="8" customFormat="false" ht="15" hidden="false" customHeight="false" outlineLevel="0" collapsed="false">
      <c r="A8" s="15" t="s">
        <v>314</v>
      </c>
      <c r="B8" s="44" t="n">
        <v>46329</v>
      </c>
      <c r="C8" s="30" t="n">
        <v>0.333333333333333</v>
      </c>
      <c r="D8" s="30" t="n">
        <v>0.635416666666667</v>
      </c>
      <c r="E8" s="12" t="n">
        <f aca="false">係数!$B$21*1</f>
        <v>50</v>
      </c>
      <c r="F8" s="12" t="n">
        <f aca="false">ROUND((D8-C8)*1440,0)-E8</f>
        <v>385</v>
      </c>
      <c r="G8" s="12" t="n">
        <f aca="false">SUMIFS(シーン見積!$G$4:$G$25,シーン見積!$C$4:$C$25,A8)</f>
        <v>300</v>
      </c>
      <c r="H8" s="12" t="n">
        <f aca="false">SUMIFS(移動!$G$16:$G$32,移動!$A$16:$A$32,A8)</f>
        <v>10</v>
      </c>
      <c r="I8" s="12" t="n">
        <f aca="false">F8-G8-H8</f>
        <v>75</v>
      </c>
      <c r="J8" s="13" t="n">
        <v>3</v>
      </c>
      <c r="K8" s="12" t="n">
        <f aca="false">SUMIFS(シーン見積!$Z$4:$Z$25,シーン見積!$C$4:$C$25,A8)+SUMIFS(移動!$D$16:$D$32,移動!$A$16:$A$32,A8)+J8*係数!$B$14</f>
        <v>296</v>
      </c>
      <c r="L8" s="10" t="n">
        <f aca="false">SUMIFS(シーン見積!$AD$4:$AD$25,シーン見積!$C$4:$C$25,A8)+SUMIFS(移動!$E$16:$E$32,移動!$A$16:$A$32,A8)+J8*係数!$C$14</f>
        <v>506</v>
      </c>
      <c r="M8" s="12" t="n">
        <f aca="false">SUMIFS(シーン見積!$AH$4:$AH$25,シーン見積!$C$4:$C$25,A8)+SUMIFS(移動!$F$16:$F$32,移動!$A$16:$A$32,A8)+J8*係数!$D$14</f>
        <v>738</v>
      </c>
      <c r="N8" s="12" t="n">
        <f aca="false">F8-K8</f>
        <v>89</v>
      </c>
      <c r="O8" s="12" t="n">
        <f aca="false">F8-L8</f>
        <v>-121</v>
      </c>
      <c r="P8" s="12" t="n">
        <f aca="false">F8-M8</f>
        <v>-353</v>
      </c>
      <c r="Q8" s="45" t="n">
        <f aca="false">IF(I8&gt;0,MAX(0,L8-G8-H8)/I8,"予備なし")</f>
        <v>2.61333333333333</v>
      </c>
      <c r="R8" s="45" t="n">
        <f aca="false">IF(I8&gt;0,MAX(0,M8-G8-H8)/I8,"予備なし")</f>
        <v>5.70666666666667</v>
      </c>
      <c r="S8" s="32" t="n">
        <f aca="false">C8+(E8+K8)/1440</f>
        <v>0.573611111111111</v>
      </c>
      <c r="T8" s="33" t="n">
        <f aca="false">C8+(E8+L8)/1440</f>
        <v>0.719444444444444</v>
      </c>
      <c r="U8" s="32" t="n">
        <f aca="false">C8+(E8+M8)/1440</f>
        <v>0.880555555555556</v>
      </c>
      <c r="V8" s="10" t="str">
        <f aca="false">IF(T8&lt;=D8+1/2880,"収まる",IF(S8&lt;=D8+1/2880,"条件付き","超過"))</f>
        <v>条件付き</v>
      </c>
      <c r="W8" s="8" t="str">
        <f aca="false">IF(U8&lt;=D8+1/2880,"収まる","超過")</f>
        <v>超過</v>
      </c>
    </row>
    <row r="9" customFormat="false" ht="15" hidden="false" customHeight="false" outlineLevel="0" collapsed="false">
      <c r="A9" s="15" t="s">
        <v>336</v>
      </c>
      <c r="B9" s="44" t="n">
        <v>46329</v>
      </c>
      <c r="C9" s="30" t="n">
        <v>0.635416666666667</v>
      </c>
      <c r="D9" s="43" t="n">
        <f aca="false">日没!$C$6+日没!$C$12/1440</f>
        <v>0.729861111111111</v>
      </c>
      <c r="E9" s="12" t="n">
        <f aca="false">係数!$B$21*0</f>
        <v>0</v>
      </c>
      <c r="F9" s="12" t="n">
        <f aca="false">ROUND((D9-C9)*1440,0)-E9</f>
        <v>136</v>
      </c>
      <c r="G9" s="12" t="n">
        <f aca="false">SUMIFS(シーン見積!$G$4:$G$25,シーン見積!$C$4:$C$25,A9)</f>
        <v>105</v>
      </c>
      <c r="H9" s="12" t="n">
        <f aca="false">SUMIFS(移動!$G$16:$G$32,移動!$A$16:$A$32,A9)</f>
        <v>0</v>
      </c>
      <c r="I9" s="12" t="n">
        <f aca="false">F9-G9-H9</f>
        <v>31</v>
      </c>
      <c r="J9" s="13" t="n">
        <v>0</v>
      </c>
      <c r="K9" s="12" t="n">
        <f aca="false">SUMIFS(シーン見積!$Z$4:$Z$25,シーン見積!$C$4:$C$25,A9)+SUMIFS(移動!$D$16:$D$32,移動!$A$16:$A$32,A9)+J9*係数!$B$14</f>
        <v>54</v>
      </c>
      <c r="L9" s="10" t="n">
        <f aca="false">SUMIFS(シーン見積!$AD$4:$AD$25,シーン見積!$C$4:$C$25,A9)+SUMIFS(移動!$E$16:$E$32,移動!$A$16:$A$32,A9)+J9*係数!$C$14</f>
        <v>90</v>
      </c>
      <c r="M9" s="12" t="n">
        <f aca="false">SUMIFS(シーン見積!$AH$4:$AH$25,シーン見積!$C$4:$C$25,A9)+SUMIFS(移動!$F$16:$F$32,移動!$A$16:$A$32,A9)+J9*係数!$D$14</f>
        <v>132</v>
      </c>
      <c r="N9" s="12" t="n">
        <f aca="false">F9-K9</f>
        <v>82</v>
      </c>
      <c r="O9" s="12" t="n">
        <f aca="false">F9-L9</f>
        <v>46</v>
      </c>
      <c r="P9" s="12" t="n">
        <f aca="false">F9-M9</f>
        <v>4</v>
      </c>
      <c r="Q9" s="45" t="n">
        <f aca="false">IF(I9&gt;0,MAX(0,L9-G9-H9)/I9,"予備なし")</f>
        <v>0</v>
      </c>
      <c r="R9" s="45" t="n">
        <f aca="false">IF(I9&gt;0,MAX(0,M9-G9-H9)/I9,"予備なし")</f>
        <v>0.870967741935484</v>
      </c>
      <c r="S9" s="32" t="n">
        <f aca="false">MAX(C9,S8)+(E9+K9)/1440</f>
        <v>0.672916666666667</v>
      </c>
      <c r="T9" s="33" t="n">
        <f aca="false">MAX(C9,T8)+(E9+L9)/1440</f>
        <v>0.781944444444444</v>
      </c>
      <c r="U9" s="32" t="n">
        <f aca="false">MAX(C9,U8)+(E9+M9)/1440</f>
        <v>0.972222222222222</v>
      </c>
      <c r="V9" s="10" t="str">
        <f aca="false">IF(T9&lt;=D9+1/2880,"収まる",IF(S9&lt;=D9+1/2880,"条件付き","超過"))</f>
        <v>条件付き</v>
      </c>
      <c r="W9" s="8" t="str">
        <f aca="false">IF(U9&lt;=D9+1/2880,"収まる","超過")</f>
        <v>超過</v>
      </c>
    </row>
    <row r="10" customFormat="false" ht="15" hidden="false" customHeight="false" outlineLevel="0" collapsed="false">
      <c r="A10" s="15" t="s">
        <v>347</v>
      </c>
      <c r="B10" s="44" t="n">
        <v>46333</v>
      </c>
      <c r="C10" s="30" t="n">
        <v>0.458333333333333</v>
      </c>
      <c r="D10" s="30" t="n">
        <v>0.6875</v>
      </c>
      <c r="E10" s="12" t="n">
        <f aca="false">係数!$B$21*1</f>
        <v>50</v>
      </c>
      <c r="F10" s="12" t="n">
        <f aca="false">ROUND((D10-C10)*1440,0)-E10</f>
        <v>280</v>
      </c>
      <c r="G10" s="12" t="n">
        <f aca="false">SUMIFS(シーン見積!$G$4:$G$25,シーン見積!$C$4:$C$25,A10)</f>
        <v>210</v>
      </c>
      <c r="H10" s="12" t="n">
        <f aca="false">SUMIFS(移動!$G$16:$G$32,移動!$A$16:$A$32,A10)</f>
        <v>70</v>
      </c>
      <c r="I10" s="12" t="n">
        <f aca="false">F10-G10-H10</f>
        <v>0</v>
      </c>
      <c r="J10" s="13" t="n">
        <v>3</v>
      </c>
      <c r="K10" s="12" t="n">
        <f aca="false">SUMIFS(シーン見積!$Z$4:$Z$25,シーン見積!$C$4:$C$25,A10)+SUMIFS(移動!$D$16:$D$32,移動!$A$16:$A$32,A10)+J10*係数!$B$14</f>
        <v>219</v>
      </c>
      <c r="L10" s="10" t="n">
        <f aca="false">SUMIFS(シーン見積!$AD$4:$AD$25,シーン見積!$C$4:$C$25,A10)+SUMIFS(移動!$E$16:$E$32,移動!$A$16:$A$32,A10)+J10*係数!$C$14</f>
        <v>389</v>
      </c>
      <c r="M10" s="12" t="n">
        <f aca="false">SUMIFS(シーン見積!$AH$4:$AH$25,シーン見積!$C$4:$C$25,A10)+SUMIFS(移動!$F$16:$F$32,移動!$A$16:$A$32,A10)+J10*係数!$D$14</f>
        <v>586</v>
      </c>
      <c r="N10" s="12" t="n">
        <f aca="false">F10-K10</f>
        <v>61</v>
      </c>
      <c r="O10" s="12" t="n">
        <f aca="false">F10-L10</f>
        <v>-109</v>
      </c>
      <c r="P10" s="12" t="n">
        <f aca="false">F10-M10</f>
        <v>-306</v>
      </c>
      <c r="Q10" s="45" t="str">
        <f aca="false">IF(I10&gt;0,MAX(0,L10-G10-H10)/I10,"予備なし")</f>
        <v>予備なし</v>
      </c>
      <c r="R10" s="45" t="str">
        <f aca="false">IF(I10&gt;0,MAX(0,M10-G10-H10)/I10,"予備なし")</f>
        <v>予備なし</v>
      </c>
      <c r="S10" s="32" t="n">
        <f aca="false">C10+(E10+K10)/1440</f>
        <v>0.645138888888889</v>
      </c>
      <c r="T10" s="33" t="n">
        <f aca="false">C10+(E10+L10)/1440</f>
        <v>0.763194444444444</v>
      </c>
      <c r="U10" s="32" t="n">
        <f aca="false">C10+(E10+M10)/1440</f>
        <v>0.9</v>
      </c>
      <c r="V10" s="10" t="str">
        <f aca="false">IF(T10&lt;=D10+1/2880,"収まる",IF(S10&lt;=D10+1/2880,"条件付き","超過"))</f>
        <v>条件付き</v>
      </c>
      <c r="W10" s="8" t="str">
        <f aca="false">IF(U10&lt;=D10+1/2880,"収まる","超過")</f>
        <v>超過</v>
      </c>
    </row>
    <row r="11" customFormat="false" ht="15" hidden="false" customHeight="false" outlineLevel="0" collapsed="false">
      <c r="A11" s="15" t="s">
        <v>359</v>
      </c>
      <c r="B11" s="44" t="n">
        <v>46333</v>
      </c>
      <c r="C11" s="30" t="n">
        <v>0.6875</v>
      </c>
      <c r="D11" s="43" t="n">
        <f aca="false">日没!$C$7+日没!$C$12/1440</f>
        <v>0.727777777777778</v>
      </c>
      <c r="E11" s="12" t="n">
        <f aca="false">係数!$B$21*0</f>
        <v>0</v>
      </c>
      <c r="F11" s="12" t="n">
        <f aca="false">ROUND((D11-C11)*1440,0)-E11</f>
        <v>58</v>
      </c>
      <c r="G11" s="12" t="n">
        <f aca="false">SUMIFS(シーン見積!$G$4:$G$25,シーン見積!$C$4:$C$25,A11)</f>
        <v>45</v>
      </c>
      <c r="H11" s="12" t="n">
        <f aca="false">SUMIFS(移動!$G$16:$G$32,移動!$A$16:$A$32,A11)</f>
        <v>0</v>
      </c>
      <c r="I11" s="12" t="n">
        <f aca="false">F11-G11-H11</f>
        <v>13</v>
      </c>
      <c r="J11" s="13" t="n">
        <v>0</v>
      </c>
      <c r="K11" s="12" t="n">
        <f aca="false">SUMIFS(シーン見積!$Z$4:$Z$25,シーン見積!$C$4:$C$25,A11)+SUMIFS(移動!$D$16:$D$32,移動!$A$16:$A$32,A11)+J11*係数!$B$14</f>
        <v>15</v>
      </c>
      <c r="L11" s="10" t="n">
        <f aca="false">SUMIFS(シーン見積!$AD$4:$AD$25,シーン見積!$C$4:$C$25,A11)+SUMIFS(移動!$E$16:$E$32,移動!$A$16:$A$32,A11)+J11*係数!$C$14</f>
        <v>25</v>
      </c>
      <c r="M11" s="12" t="n">
        <f aca="false">SUMIFS(シーン見積!$AH$4:$AH$25,シーン見積!$C$4:$C$25,A11)+SUMIFS(移動!$F$16:$F$32,移動!$A$16:$A$32,A11)+J11*係数!$D$14</f>
        <v>37</v>
      </c>
      <c r="N11" s="12" t="n">
        <f aca="false">F11-K11</f>
        <v>43</v>
      </c>
      <c r="O11" s="12" t="n">
        <f aca="false">F11-L11</f>
        <v>33</v>
      </c>
      <c r="P11" s="12" t="n">
        <f aca="false">F11-M11</f>
        <v>21</v>
      </c>
      <c r="Q11" s="45" t="n">
        <f aca="false">IF(I11&gt;0,MAX(0,L11-G11-H11)/I11,"予備なし")</f>
        <v>0</v>
      </c>
      <c r="R11" s="45" t="n">
        <f aca="false">IF(I11&gt;0,MAX(0,M11-G11-H11)/I11,"予備なし")</f>
        <v>0</v>
      </c>
      <c r="S11" s="32" t="n">
        <f aca="false">MAX(C11,S10)+(E11+K11)/1440</f>
        <v>0.697916666666667</v>
      </c>
      <c r="T11" s="33" t="n">
        <f aca="false">MAX(C11,T10)+(E11+L11)/1440</f>
        <v>0.780555555555556</v>
      </c>
      <c r="U11" s="32" t="n">
        <f aca="false">MAX(C11,U10)+(E11+M11)/1440</f>
        <v>0.925694444444444</v>
      </c>
      <c r="V11" s="10" t="str">
        <f aca="false">IF(T11&lt;=D11+1/2880,"収まる",IF(S11&lt;=D11+1/2880,"条件付き","超過"))</f>
        <v>条件付き</v>
      </c>
      <c r="W11" s="8" t="str">
        <f aca="false">IF(U11&lt;=D11+1/2880,"収まる","超過")</f>
        <v>超過</v>
      </c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customFormat="false" ht="15" hidden="false" customHeight="false" outlineLevel="0" collapsed="false">
      <c r="A14" s="4" t="s">
        <v>579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customFormat="false" ht="26.85" hidden="false" customHeight="false" outlineLevel="0" collapsed="false">
      <c r="A15" s="7" t="s">
        <v>365</v>
      </c>
      <c r="B15" s="7" t="s">
        <v>219</v>
      </c>
      <c r="C15" s="7" t="s">
        <v>563</v>
      </c>
      <c r="D15" s="7" t="s">
        <v>569</v>
      </c>
      <c r="E15" s="7" t="s">
        <v>570</v>
      </c>
      <c r="F15" s="7" t="s">
        <v>572</v>
      </c>
      <c r="G15" s="7" t="s">
        <v>573</v>
      </c>
      <c r="H15" s="7" t="s">
        <v>577</v>
      </c>
      <c r="I15" s="7" t="s">
        <v>578</v>
      </c>
      <c r="J15" s="7" t="s">
        <v>462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customFormat="false" ht="15" hidden="false" customHeight="false" outlineLevel="0" collapsed="false">
      <c r="A16" s="15" t="s">
        <v>468</v>
      </c>
      <c r="B16" s="44" t="n">
        <v>46326</v>
      </c>
      <c r="C16" s="23" t="n">
        <f aca="false">SUMIFS($F$5:$F$11,$B$5:$B$11,B16)</f>
        <v>280</v>
      </c>
      <c r="D16" s="23" t="n">
        <f aca="false">SUMIFS($L$5:$L$11,$B$5:$B$11,B16)</f>
        <v>176</v>
      </c>
      <c r="E16" s="23" t="n">
        <f aca="false">SUMIFS($M$5:$M$11,$B$5:$B$11,B16)</f>
        <v>263</v>
      </c>
      <c r="F16" s="23" t="n">
        <f aca="false">SUMIFS($O$5:$O$11,$B$5:$B$11,B16)</f>
        <v>104</v>
      </c>
      <c r="G16" s="23" t="n">
        <f aca="false">SUMIFS($P$5:$P$11,$B$5:$B$11,B16)</f>
        <v>17</v>
      </c>
      <c r="H16" s="42" t="n">
        <f aca="false">T5</f>
        <v>0.636111111111111</v>
      </c>
      <c r="I16" s="42" t="n">
        <f aca="false">U5</f>
        <v>0.696527777777778</v>
      </c>
      <c r="J16" s="42" t="n">
        <f aca="false">D5</f>
        <v>0.708333333333333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customFormat="false" ht="15" hidden="false" customHeight="false" outlineLevel="0" collapsed="false">
      <c r="A17" s="15" t="s">
        <v>470</v>
      </c>
      <c r="B17" s="44" t="n">
        <v>46327</v>
      </c>
      <c r="C17" s="23" t="n">
        <f aca="false">SUMIFS($F$5:$F$11,$B$5:$B$11,B17)</f>
        <v>340</v>
      </c>
      <c r="D17" s="23" t="n">
        <f aca="false">SUMIFS($L$5:$L$11,$B$5:$B$11,B17)</f>
        <v>361</v>
      </c>
      <c r="E17" s="23" t="n">
        <f aca="false">SUMIFS($M$5:$M$11,$B$5:$B$11,B17)</f>
        <v>535</v>
      </c>
      <c r="F17" s="23" t="n">
        <f aca="false">SUMIFS($O$5:$O$11,$B$5:$B$11,B17)</f>
        <v>-21</v>
      </c>
      <c r="G17" s="23" t="n">
        <f aca="false">SUMIFS($P$5:$P$11,$B$5:$B$11,B17)</f>
        <v>-195</v>
      </c>
      <c r="H17" s="42" t="n">
        <f aca="false">T7</f>
        <v>0.722916666666667</v>
      </c>
      <c r="I17" s="42" t="n">
        <f aca="false">U7</f>
        <v>0.84375</v>
      </c>
      <c r="J17" s="42" t="n">
        <f aca="false">D7</f>
        <v>0.708333333333333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customFormat="false" ht="15" hidden="false" customHeight="false" outlineLevel="0" collapsed="false">
      <c r="A18" s="15" t="s">
        <v>471</v>
      </c>
      <c r="B18" s="44" t="n">
        <v>46329</v>
      </c>
      <c r="C18" s="23" t="n">
        <f aca="false">SUMIFS($F$5:$F$11,$B$5:$B$11,B18)</f>
        <v>521</v>
      </c>
      <c r="D18" s="23" t="n">
        <f aca="false">SUMIFS($L$5:$L$11,$B$5:$B$11,B18)</f>
        <v>596</v>
      </c>
      <c r="E18" s="23" t="n">
        <f aca="false">SUMIFS($M$5:$M$11,$B$5:$B$11,B18)</f>
        <v>870</v>
      </c>
      <c r="F18" s="23" t="n">
        <f aca="false">SUMIFS($O$5:$O$11,$B$5:$B$11,B18)</f>
        <v>-75</v>
      </c>
      <c r="G18" s="23" t="n">
        <f aca="false">SUMIFS($P$5:$P$11,$B$5:$B$11,B18)</f>
        <v>-349</v>
      </c>
      <c r="H18" s="42" t="n">
        <f aca="false">T9</f>
        <v>0.781944444444444</v>
      </c>
      <c r="I18" s="42" t="n">
        <f aca="false">U9</f>
        <v>0.972222222222222</v>
      </c>
      <c r="J18" s="42" t="n">
        <f aca="false">D9</f>
        <v>0.729861111111111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customFormat="false" ht="15" hidden="false" customHeight="false" outlineLevel="0" collapsed="false">
      <c r="A19" s="15" t="s">
        <v>473</v>
      </c>
      <c r="B19" s="44" t="n">
        <v>46333</v>
      </c>
      <c r="C19" s="23" t="n">
        <f aca="false">SUMIFS($F$5:$F$11,$B$5:$B$11,B19)</f>
        <v>338</v>
      </c>
      <c r="D19" s="23" t="n">
        <f aca="false">SUMIFS($L$5:$L$11,$B$5:$B$11,B19)</f>
        <v>414</v>
      </c>
      <c r="E19" s="23" t="n">
        <f aca="false">SUMIFS($M$5:$M$11,$B$5:$B$11,B19)</f>
        <v>623</v>
      </c>
      <c r="F19" s="23" t="n">
        <f aca="false">SUMIFS($O$5:$O$11,$B$5:$B$11,B19)</f>
        <v>-76</v>
      </c>
      <c r="G19" s="23" t="n">
        <f aca="false">SUMIFS($P$5:$P$11,$B$5:$B$11,B19)</f>
        <v>-285</v>
      </c>
      <c r="H19" s="42" t="n">
        <f aca="false">T11</f>
        <v>0.780555555555556</v>
      </c>
      <c r="I19" s="42" t="n">
        <f aca="false">U11</f>
        <v>0.925694444444444</v>
      </c>
      <c r="J19" s="42" t="n">
        <f aca="false">D11</f>
        <v>0.727777777777778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</sheetData>
  <conditionalFormatting sqref="V5:W11">
    <cfRule type="cellIs" priority="2" operator="equal" aboveAverage="0" equalAverage="0" bottom="0" percent="0" rank="0" text="" dxfId="1">
      <formula>"不足"</formula>
    </cfRule>
    <cfRule type="cellIs" priority="3" operator="equal" aboveAverage="0" equalAverage="0" bottom="0" percent="0" rank="0" text="" dxfId="1">
      <formula>"超過"</formula>
    </cfRule>
    <cfRule type="cellIs" priority="4" operator="equal" aboveAverage="0" equalAverage="0" bottom="0" percent="0" rank="0" text="" dxfId="1">
      <formula>"ずれ"</formula>
    </cfRule>
    <cfRule type="cellIs" priority="5" operator="equal" aboveAverage="0" equalAverage="0" bottom="0" percent="0" rank="0" text="" dxfId="1">
      <formula>"超える"</formula>
    </cfRule>
    <cfRule type="cellIs" priority="6" operator="equal" aboveAverage="0" equalAverage="0" bottom="0" percent="0" rank="0" text="" dxfId="2">
      <formula>"ギリギリ"</formula>
    </cfRule>
    <cfRule type="cellIs" priority="7" operator="equal" aboveAverage="0" equalAverage="0" bottom="0" percent="0" rank="0" text="" dxfId="2">
      <formula>"条件付き"</formula>
    </cfRule>
    <cfRule type="cellIs" priority="8" operator="equal" aboveAverage="0" equalAverage="0" bottom="0" percent="0" rank="0" text="" dxfId="2">
      <formula>"一部ずれ"</formula>
    </cfRule>
    <cfRule type="cellIs" priority="9" operator="equal" aboveAverage="0" equalAverage="0" bottom="0" percent="0" rank="0" text="" dxfId="0">
      <formula>"余裕あり"</formula>
    </cfRule>
    <cfRule type="cellIs" priority="10" operator="equal" aboveAverage="0" equalAverage="0" bottom="0" percent="0" rank="0" text="" dxfId="0">
      <formula>"収まる"</formula>
    </cfRule>
    <cfRule type="cellIs" priority="11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7" min="6" style="0" width="9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56"/>
  </cols>
  <sheetData>
    <row r="1" customFormat="false" ht="15" hidden="false" customHeight="false" outlineLevel="0" collapsed="false">
      <c r="A1" s="4" t="s">
        <v>580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customFormat="false" ht="15" hidden="false" customHeight="false" outlineLevel="0" collapsed="false">
      <c r="A2" s="6" t="s">
        <v>581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31.5" hidden="false" customHeight="true" outlineLevel="0" collapsed="false">
      <c r="A4" s="7" t="s">
        <v>219</v>
      </c>
      <c r="B4" s="7" t="s">
        <v>582</v>
      </c>
      <c r="C4" s="7" t="s">
        <v>583</v>
      </c>
      <c r="D4" s="7" t="s">
        <v>584</v>
      </c>
      <c r="E4" s="7" t="s">
        <v>585</v>
      </c>
      <c r="F4" s="7" t="s">
        <v>586</v>
      </c>
      <c r="G4" s="7" t="s">
        <v>587</v>
      </c>
      <c r="H4" s="7" t="s">
        <v>588</v>
      </c>
      <c r="I4" s="7" t="s">
        <v>589</v>
      </c>
      <c r="J4" s="7" t="s">
        <v>590</v>
      </c>
      <c r="K4" s="7" t="s">
        <v>562</v>
      </c>
      <c r="L4" s="7" t="s">
        <v>85</v>
      </c>
    </row>
    <row r="5" customFormat="false" ht="15" hidden="false" customHeight="false" outlineLevel="0" collapsed="false">
      <c r="A5" s="44" t="n">
        <v>46326</v>
      </c>
      <c r="B5" s="8" t="s">
        <v>591</v>
      </c>
      <c r="C5" s="30" t="n">
        <v>0.416666666666667</v>
      </c>
      <c r="D5" s="30" t="n">
        <v>0.534722222222222</v>
      </c>
      <c r="E5" s="23" t="n">
        <f aca="false">ROUND((D5-C5)*1440,0)+係数!$B$22-K5</f>
        <v>185</v>
      </c>
      <c r="F5" s="23" t="str">
        <f aca="false">IF(E5&gt;係数!$B$27,"超える",IF(E5&gt;係数!$B$27-30,"ギリギリ","OK"))</f>
        <v>OK</v>
      </c>
      <c r="G5" s="46" t="n">
        <v>0.416666666666667</v>
      </c>
      <c r="H5" s="43" t="n">
        <f aca="false">IF(改訂スケジュール!$M$5=1,INDEX(改訂スケジュール!$H$5:$H$64,MATCH("S16（リョウ・ソウタ）※変更提案：M5=1のときだけ",改訂スケジュール!$C$5:$C$64,0)),INDEX(改訂スケジュール!$H$5:$H$64,MATCH("S4",改訂スケジュール!$C$5:$C$64,0)))</f>
        <v>0.548611111111111</v>
      </c>
      <c r="I5" s="23" t="n">
        <f aca="false">ROUND((H5-G5)*1440,0)+係数!$B$22-K5</f>
        <v>205</v>
      </c>
      <c r="J5" s="47" t="str">
        <f aca="false">IF(I5&gt;係数!$B$27,"超える",IF(I5&gt;係数!$B$27-30,"ギリギリ","OK"))</f>
        <v>OK</v>
      </c>
      <c r="K5" s="18" t="n">
        <f aca="false">係数!$B$21*0</f>
        <v>0</v>
      </c>
      <c r="L5" s="12" t="s">
        <v>592</v>
      </c>
    </row>
    <row r="6" customFormat="false" ht="15" hidden="false" customHeight="false" outlineLevel="0" collapsed="false">
      <c r="A6" s="44" t="n">
        <v>46326</v>
      </c>
      <c r="B6" s="8" t="s">
        <v>593</v>
      </c>
      <c r="C6" s="30" t="n">
        <v>0.416666666666667</v>
      </c>
      <c r="D6" s="30" t="n">
        <v>0.534722222222222</v>
      </c>
      <c r="E6" s="23" t="n">
        <f aca="false">ROUND((D6-C6)*1440,0)+係数!$B$22-K6</f>
        <v>185</v>
      </c>
      <c r="F6" s="23" t="str">
        <f aca="false">IF(E6&gt;係数!$B$27,"超える",IF(E6&gt;係数!$B$27-30,"ギリギリ","OK"))</f>
        <v>OK</v>
      </c>
      <c r="G6" s="46" t="n">
        <v>0.416666666666667</v>
      </c>
      <c r="H6" s="43" t="n">
        <f aca="false">INDEX(改訂スケジュール!$H$5:$H$64,MATCH("S4",改訂スケジュール!$C$5:$C$64,0))</f>
        <v>0.548611111111111</v>
      </c>
      <c r="I6" s="23" t="n">
        <f aca="false">ROUND((H6-G6)*1440,0)+係数!$B$22-K6</f>
        <v>205</v>
      </c>
      <c r="J6" s="47" t="str">
        <f aca="false">IF(I6&gt;係数!$B$27,"超える",IF(I6&gt;係数!$B$27-30,"ギリギリ","OK"))</f>
        <v>OK</v>
      </c>
      <c r="K6" s="18" t="n">
        <f aca="false">係数!$B$21*0</f>
        <v>0</v>
      </c>
      <c r="L6" s="8" t="s">
        <v>62</v>
      </c>
    </row>
    <row r="7" customFormat="false" ht="15" hidden="false" customHeight="false" outlineLevel="0" collapsed="false">
      <c r="A7" s="44" t="n">
        <v>46326</v>
      </c>
      <c r="B7" s="8" t="s">
        <v>594</v>
      </c>
      <c r="C7" s="30" t="n">
        <v>0.416666666666667</v>
      </c>
      <c r="D7" s="30" t="n">
        <v>0.666666666666667</v>
      </c>
      <c r="E7" s="23" t="n">
        <f aca="false">ROUND((D7-C7)*1440,0)+係数!$B$22-K7</f>
        <v>375</v>
      </c>
      <c r="F7" s="23" t="str">
        <f aca="false">IF(E7&gt;係数!$B$27,"超える",IF(E7&gt;係数!$B$27-30,"ギリギリ","OK"))</f>
        <v>OK</v>
      </c>
      <c r="G7" s="46" t="n">
        <v>0.5625</v>
      </c>
      <c r="H7" s="43" t="n">
        <f aca="false">INDEX(改訂スケジュール!$H$5:$H$64,MATCH("S13",改訂スケジュール!$C$5:$C$64,0))</f>
        <v>0.634722222222222</v>
      </c>
      <c r="I7" s="23" t="n">
        <f aca="false">ROUND((H7-G7)*1440,0)+係数!$B$22-K7</f>
        <v>119</v>
      </c>
      <c r="J7" s="47" t="str">
        <f aca="false">IF(I7&gt;係数!$B$27,"超える",IF(I7&gt;係数!$B$27-30,"ギリギリ","OK"))</f>
        <v>OK</v>
      </c>
      <c r="K7" s="18" t="n">
        <f aca="false">係数!$B$21*0</f>
        <v>0</v>
      </c>
      <c r="L7" s="8" t="s">
        <v>595</v>
      </c>
    </row>
    <row r="8" customFormat="false" ht="15" hidden="false" customHeight="false" outlineLevel="0" collapsed="false">
      <c r="A8" s="44" t="n">
        <v>46326</v>
      </c>
      <c r="B8" s="8" t="s">
        <v>596</v>
      </c>
      <c r="C8" s="30" t="n">
        <v>0.458333333333333</v>
      </c>
      <c r="D8" s="30" t="n">
        <v>0.708333333333333</v>
      </c>
      <c r="E8" s="23" t="n">
        <f aca="false">ROUND((D8-C8)*1440,0)+係数!$B$22-K8</f>
        <v>325</v>
      </c>
      <c r="F8" s="23" t="str">
        <f aca="false">IF(E8&gt;係数!$B$27,"超える",IF(E8&gt;係数!$B$27-30,"ギリギリ","OK"))</f>
        <v>OK</v>
      </c>
      <c r="G8" s="46" t="n">
        <v>0.458333333333333</v>
      </c>
      <c r="H8" s="43" t="n">
        <f aca="false">INDEX(改訂スケジュール!$H$5:$H$64,MATCH("S13",改訂スケジュール!$C$5:$C$64,0))</f>
        <v>0.634722222222222</v>
      </c>
      <c r="I8" s="23" t="n">
        <f aca="false">ROUND((H8-G8)*1440,0)+係数!$B$22-K8</f>
        <v>219</v>
      </c>
      <c r="J8" s="47" t="str">
        <f aca="false">IF(I8&gt;係数!$B$27,"超える",IF(I8&gt;係数!$B$27-30,"ギリギリ","OK"))</f>
        <v>OK</v>
      </c>
      <c r="K8" s="18" t="n">
        <f aca="false">係数!$B$21*1</f>
        <v>50</v>
      </c>
      <c r="L8" s="8" t="s">
        <v>597</v>
      </c>
    </row>
    <row r="9" customFormat="false" ht="15" hidden="false" customHeight="false" outlineLevel="0" collapsed="false">
      <c r="A9" s="44" t="n">
        <v>46327</v>
      </c>
      <c r="B9" s="8" t="s">
        <v>591</v>
      </c>
      <c r="C9" s="30" t="n">
        <v>0.375</v>
      </c>
      <c r="D9" s="30" t="n">
        <v>0.6875</v>
      </c>
      <c r="E9" s="23" t="n">
        <f aca="false">ROUND((D9-C9)*1440,0)+係数!$B$22-K9</f>
        <v>415</v>
      </c>
      <c r="F9" s="23" t="str">
        <f aca="false">IF(E9&gt;係数!$B$27,"超える",IF(E9&gt;係数!$B$27-30,"ギリギリ","OK"))</f>
        <v>ギリギリ</v>
      </c>
      <c r="G9" s="46" t="n">
        <v>0.375</v>
      </c>
      <c r="H9" s="43" t="n">
        <f aca="false">INDEX(改訂スケジュール!$H$5:$H$64,MATCH("S18",改訂スケジュール!$C$5:$C$64,0))</f>
        <v>0.685416666666667</v>
      </c>
      <c r="I9" s="23" t="n">
        <f aca="false">ROUND((H9-G9)*1440,0)+係数!$B$22-K9</f>
        <v>412</v>
      </c>
      <c r="J9" s="47" t="str">
        <f aca="false">IF(I9&gt;係数!$B$27,"超える",IF(I9&gt;係数!$B$27-30,"ギリギリ","OK"))</f>
        <v>ギリギリ</v>
      </c>
      <c r="K9" s="18" t="n">
        <f aca="false">係数!$B$21*1</f>
        <v>50</v>
      </c>
      <c r="L9" s="12"/>
    </row>
    <row r="10" customFormat="false" ht="15" hidden="false" customHeight="false" outlineLevel="0" collapsed="false">
      <c r="A10" s="44" t="n">
        <v>46327</v>
      </c>
      <c r="B10" s="8" t="s">
        <v>594</v>
      </c>
      <c r="C10" s="30" t="n">
        <v>0.375</v>
      </c>
      <c r="D10" s="30" t="n">
        <v>0.6875</v>
      </c>
      <c r="E10" s="23" t="n">
        <f aca="false">ROUND((D10-C10)*1440,0)+係数!$B$22-K10</f>
        <v>415</v>
      </c>
      <c r="F10" s="23" t="str">
        <f aca="false">IF(E10&gt;係数!$B$27,"超える",IF(E10&gt;係数!$B$27-30,"ギリギリ","OK"))</f>
        <v>ギリギリ</v>
      </c>
      <c r="G10" s="46" t="n">
        <v>0.375</v>
      </c>
      <c r="H10" s="43" t="n">
        <f aca="false">INDEX(改訂スケジュール!$H$5:$H$64,MATCH("S18",改訂スケジュール!$C$5:$C$64,0))</f>
        <v>0.685416666666667</v>
      </c>
      <c r="I10" s="23" t="n">
        <f aca="false">ROUND((H10-G10)*1440,0)+係数!$B$22-K10</f>
        <v>412</v>
      </c>
      <c r="J10" s="47" t="str">
        <f aca="false">IF(I10&gt;係数!$B$27,"超える",IF(I10&gt;係数!$B$27-30,"ギリギリ","OK"))</f>
        <v>ギリギリ</v>
      </c>
      <c r="K10" s="18" t="n">
        <f aca="false">係数!$B$21*1</f>
        <v>50</v>
      </c>
      <c r="L10" s="12" t="s">
        <v>598</v>
      </c>
    </row>
    <row r="11" customFormat="false" ht="15" hidden="false" customHeight="false" outlineLevel="0" collapsed="false">
      <c r="A11" s="44" t="n">
        <v>46327</v>
      </c>
      <c r="B11" s="8" t="s">
        <v>599</v>
      </c>
      <c r="C11" s="30" t="n">
        <v>0.416666666666667</v>
      </c>
      <c r="D11" s="30" t="n">
        <v>0.6875</v>
      </c>
      <c r="E11" s="23" t="n">
        <f aca="false">ROUND((D11-C11)*1440,0)+係数!$B$22-K11</f>
        <v>355</v>
      </c>
      <c r="F11" s="23" t="str">
        <f aca="false">IF(E11&gt;係数!$B$27,"超える",IF(E11&gt;係数!$B$27-30,"ギリギリ","OK"))</f>
        <v>OK</v>
      </c>
      <c r="G11" s="46" t="n">
        <v>0.416666666666667</v>
      </c>
      <c r="H11" s="43" t="n">
        <f aca="false">INDEX(改訂スケジュール!$H$5:$H$64,MATCH("S18",改訂スケジュール!$C$5:$C$64,0))</f>
        <v>0.685416666666667</v>
      </c>
      <c r="I11" s="23" t="n">
        <f aca="false">ROUND((H11-G11)*1440,0)+係数!$B$22-K11</f>
        <v>352</v>
      </c>
      <c r="J11" s="47" t="str">
        <f aca="false">IF(I11&gt;係数!$B$27,"超える",IF(I11&gt;係数!$B$27-30,"ギリギリ","OK"))</f>
        <v>OK</v>
      </c>
      <c r="K11" s="18" t="n">
        <f aca="false">係数!$B$21*1</f>
        <v>50</v>
      </c>
      <c r="L11" s="12" t="s">
        <v>600</v>
      </c>
    </row>
    <row r="12" customFormat="false" ht="15" hidden="false" customHeight="false" outlineLevel="0" collapsed="false">
      <c r="A12" s="44" t="n">
        <v>46329</v>
      </c>
      <c r="B12" s="8" t="s">
        <v>591</v>
      </c>
      <c r="C12" s="30" t="n">
        <v>0.3125</v>
      </c>
      <c r="D12" s="30" t="n">
        <v>0.6875</v>
      </c>
      <c r="E12" s="23" t="n">
        <f aca="false">ROUND((D12-C12)*1440,0)+係数!$B$22-K12</f>
        <v>505</v>
      </c>
      <c r="F12" s="23" t="str">
        <f aca="false">IF(E12&gt;係数!$B$27,"超える",IF(E12&gt;係数!$B$27-30,"ギリギリ","OK"))</f>
        <v>超える</v>
      </c>
      <c r="G12" s="46" t="n">
        <v>0.3125</v>
      </c>
      <c r="H12" s="43" t="n">
        <f aca="false">INDEX(改訂スケジュール!$H$5:$H$64,MATCH("S19",改訂スケジュール!$C$5:$C$64,0))</f>
        <v>0.704166666666667</v>
      </c>
      <c r="I12" s="23" t="n">
        <f aca="false">ROUND((H12-G12)*1440,0)+係数!$B$22-K12</f>
        <v>529</v>
      </c>
      <c r="J12" s="47" t="str">
        <f aca="false">IF(I12&gt;係数!$B$27,"超える",IF(I12&gt;係数!$B$27-30,"ギリギリ","OK"))</f>
        <v>超える</v>
      </c>
      <c r="K12" s="18" t="n">
        <f aca="false">係数!$B$21*1</f>
        <v>50</v>
      </c>
      <c r="L12" s="8" t="s">
        <v>601</v>
      </c>
    </row>
    <row r="13" customFormat="false" ht="15" hidden="false" customHeight="false" outlineLevel="0" collapsed="false">
      <c r="A13" s="44" t="n">
        <v>46329</v>
      </c>
      <c r="B13" s="8" t="s">
        <v>593</v>
      </c>
      <c r="C13" s="30" t="n">
        <v>0.3125</v>
      </c>
      <c r="D13" s="30" t="n">
        <v>0.6875</v>
      </c>
      <c r="E13" s="23" t="n">
        <f aca="false">ROUND((D13-C13)*1440,0)+係数!$B$22-K13</f>
        <v>505</v>
      </c>
      <c r="F13" s="23" t="str">
        <f aca="false">IF(E13&gt;係数!$B$27,"超える",IF(E13&gt;係数!$B$27-30,"ギリギリ","OK"))</f>
        <v>超える</v>
      </c>
      <c r="G13" s="46" t="n">
        <v>0.3125</v>
      </c>
      <c r="H13" s="43" t="n">
        <f aca="false">INDEX(改訂スケジュール!$H$5:$H$64,MATCH("S19",改訂スケジュール!$C$5:$C$64,0))</f>
        <v>0.704166666666667</v>
      </c>
      <c r="I13" s="23" t="n">
        <f aca="false">ROUND((H13-G13)*1440,0)+係数!$B$22-K13</f>
        <v>529</v>
      </c>
      <c r="J13" s="47" t="str">
        <f aca="false">IF(I13&gt;係数!$B$27,"超える",IF(I13&gt;係数!$B$27-30,"ギリギリ","OK"))</f>
        <v>超える</v>
      </c>
      <c r="K13" s="18" t="n">
        <f aca="false">係数!$B$21*1</f>
        <v>50</v>
      </c>
      <c r="L13" s="8" t="s">
        <v>62</v>
      </c>
    </row>
    <row r="14" customFormat="false" ht="15" hidden="false" customHeight="false" outlineLevel="0" collapsed="false">
      <c r="A14" s="44" t="n">
        <v>46329</v>
      </c>
      <c r="B14" s="8" t="s">
        <v>594</v>
      </c>
      <c r="C14" s="30" t="n">
        <v>0.3125</v>
      </c>
      <c r="D14" s="30" t="n">
        <v>0.541666666666667</v>
      </c>
      <c r="E14" s="23" t="n">
        <f aca="false">ROUND((D14-C14)*1440,0)+係数!$B$22-K14</f>
        <v>295</v>
      </c>
      <c r="F14" s="23" t="str">
        <f aca="false">IF(E14&gt;係数!$B$27,"超える",IF(E14&gt;係数!$B$27-30,"ギリギリ","OK"))</f>
        <v>OK</v>
      </c>
      <c r="G14" s="46" t="n">
        <v>0.3125</v>
      </c>
      <c r="H14" s="43" t="n">
        <f aca="false">IF(改訂スケジュール!$M$5=1,INDEX(改訂スケジュール!$H$5:$H$64,MATCH("S15",改訂スケジュール!$C$5:$C$64,0)),INDEX(改訂スケジュール!$H$5:$H$64,MATCH("S16",改訂スケジュール!$C$5:$C$64,0)))</f>
        <v>0.651388888888889</v>
      </c>
      <c r="I14" s="23" t="n">
        <f aca="false">ROUND((H14-G14)*1440,0)+係数!$B$22-K14</f>
        <v>453</v>
      </c>
      <c r="J14" s="47" t="str">
        <f aca="false">IF(I14&gt;係数!$B$27,"超える",IF(I14&gt;係数!$B$27-30,"ギリギリ","OK"))</f>
        <v>超える</v>
      </c>
      <c r="K14" s="18" t="n">
        <f aca="false">係数!$B$21*1</f>
        <v>50</v>
      </c>
      <c r="L14" s="12" t="s">
        <v>602</v>
      </c>
    </row>
    <row r="15" customFormat="false" ht="15" hidden="false" customHeight="false" outlineLevel="0" collapsed="false">
      <c r="A15" s="44" t="n">
        <v>46329</v>
      </c>
      <c r="B15" s="8" t="s">
        <v>603</v>
      </c>
      <c r="C15" s="30" t="n">
        <v>0.3125</v>
      </c>
      <c r="D15" s="30" t="n">
        <v>0.465277777777778</v>
      </c>
      <c r="E15" s="23" t="n">
        <f aca="false">ROUND((D15-C15)*1440,0)+係数!$B$22-K15</f>
        <v>235</v>
      </c>
      <c r="F15" s="23" t="str">
        <f aca="false">IF(E15&gt;係数!$B$27,"超える",IF(E15&gt;係数!$B$27-30,"ギリギリ","OK"))</f>
        <v>OK</v>
      </c>
      <c r="G15" s="46" t="n">
        <v>0.395833333333333</v>
      </c>
      <c r="H15" s="43" t="n">
        <f aca="false">INDEX(改訂スケジュール!$H$5:$H$64,MATCH("S14",改訂スケジュール!$C$5:$C$64,0))</f>
        <v>0.490277777777778</v>
      </c>
      <c r="I15" s="23" t="n">
        <f aca="false">ROUND((H15-G15)*1440,0)+係数!$B$22-K15</f>
        <v>151</v>
      </c>
      <c r="J15" s="47" t="str">
        <f aca="false">IF(I15&gt;係数!$B$27,"超える",IF(I15&gt;係数!$B$27-30,"ギリギリ","OK"))</f>
        <v>OK</v>
      </c>
      <c r="K15" s="18" t="n">
        <f aca="false">係数!$B$21*0</f>
        <v>0</v>
      </c>
      <c r="L15" s="8" t="s">
        <v>604</v>
      </c>
    </row>
    <row r="16" customFormat="false" ht="15" hidden="false" customHeight="false" outlineLevel="0" collapsed="false">
      <c r="A16" s="44" t="n">
        <v>46333</v>
      </c>
      <c r="B16" s="8" t="s">
        <v>591</v>
      </c>
      <c r="C16" s="30" t="n">
        <v>0.4375</v>
      </c>
      <c r="D16" s="30" t="n">
        <v>0.71875</v>
      </c>
      <c r="E16" s="23" t="n">
        <f aca="false">ROUND((D16-C16)*1440,0)+係数!$B$22-K16</f>
        <v>370</v>
      </c>
      <c r="F16" s="23" t="str">
        <f aca="false">IF(E16&gt;係数!$B$27,"超える",IF(E16&gt;係数!$B$27-30,"ギリギリ","OK"))</f>
        <v>OK</v>
      </c>
      <c r="G16" s="46" t="n">
        <v>0.395833333333333</v>
      </c>
      <c r="H16" s="43" t="n">
        <f aca="false">INDEX(改訂スケジュール!$H$5:$H$64,MATCH("S1",改訂スケジュール!$C$5:$C$64,0))</f>
        <v>0.725</v>
      </c>
      <c r="I16" s="23" t="n">
        <f aca="false">ROUND((H16-G16)*1440,0)+係数!$B$22-K16</f>
        <v>439</v>
      </c>
      <c r="J16" s="47" t="str">
        <f aca="false">IF(I16&gt;係数!$B$27,"超える",IF(I16&gt;係数!$B$27-30,"ギリギリ","OK"))</f>
        <v>超える</v>
      </c>
      <c r="K16" s="18" t="n">
        <f aca="false">係数!$B$21*1</f>
        <v>50</v>
      </c>
      <c r="L16" s="8" t="s">
        <v>605</v>
      </c>
    </row>
    <row r="17" customFormat="false" ht="15" hidden="false" customHeight="false" outlineLevel="0" collapsed="false">
      <c r="A17" s="44" t="n">
        <v>46333</v>
      </c>
      <c r="B17" s="8" t="s">
        <v>593</v>
      </c>
      <c r="C17" s="30" t="n">
        <v>0.4375</v>
      </c>
      <c r="D17" s="30" t="n">
        <v>0.71875</v>
      </c>
      <c r="E17" s="23" t="n">
        <f aca="false">ROUND((D17-C17)*1440,0)+係数!$B$22-K17</f>
        <v>370</v>
      </c>
      <c r="F17" s="23" t="str">
        <f aca="false">IF(E17&gt;係数!$B$27,"超える",IF(E17&gt;係数!$B$27-30,"ギリギリ","OK"))</f>
        <v>OK</v>
      </c>
      <c r="G17" s="46" t="n">
        <v>0.395833333333333</v>
      </c>
      <c r="H17" s="43" t="n">
        <f aca="false">INDEX(改訂スケジュール!$H$5:$H$64,MATCH("S1",改訂スケジュール!$C$5:$C$64,0))</f>
        <v>0.725</v>
      </c>
      <c r="I17" s="23" t="n">
        <f aca="false">ROUND((H17-G17)*1440,0)+係数!$B$22-K17</f>
        <v>439</v>
      </c>
      <c r="J17" s="47" t="str">
        <f aca="false">IF(I17&gt;係数!$B$27,"超える",IF(I17&gt;係数!$B$27-30,"ギリギリ","OK"))</f>
        <v>超える</v>
      </c>
      <c r="K17" s="18" t="n">
        <f aca="false">係数!$B$21*1</f>
        <v>50</v>
      </c>
      <c r="L17" s="8" t="s">
        <v>62</v>
      </c>
    </row>
  </sheetData>
  <conditionalFormatting sqref="F5:F17">
    <cfRule type="cellIs" priority="2" operator="equal" aboveAverage="0" equalAverage="0" bottom="0" percent="0" rank="0" text="" dxfId="1">
      <formula>"不足"</formula>
    </cfRule>
    <cfRule type="cellIs" priority="3" operator="equal" aboveAverage="0" equalAverage="0" bottom="0" percent="0" rank="0" text="" dxfId="1">
      <formula>"超過"</formula>
    </cfRule>
    <cfRule type="cellIs" priority="4" operator="equal" aboveAverage="0" equalAverage="0" bottom="0" percent="0" rank="0" text="" dxfId="1">
      <formula>"ずれ"</formula>
    </cfRule>
    <cfRule type="cellIs" priority="5" operator="equal" aboveAverage="0" equalAverage="0" bottom="0" percent="0" rank="0" text="" dxfId="1">
      <formula>"超える"</formula>
    </cfRule>
    <cfRule type="cellIs" priority="6" operator="equal" aboveAverage="0" equalAverage="0" bottom="0" percent="0" rank="0" text="" dxfId="2">
      <formula>"ギリギリ"</formula>
    </cfRule>
    <cfRule type="cellIs" priority="7" operator="equal" aboveAverage="0" equalAverage="0" bottom="0" percent="0" rank="0" text="" dxfId="2">
      <formula>"条件付き"</formula>
    </cfRule>
    <cfRule type="cellIs" priority="8" operator="equal" aboveAverage="0" equalAverage="0" bottom="0" percent="0" rank="0" text="" dxfId="2">
      <formula>"一部ずれ"</formula>
    </cfRule>
    <cfRule type="cellIs" priority="9" operator="equal" aboveAverage="0" equalAverage="0" bottom="0" percent="0" rank="0" text="" dxfId="0">
      <formula>"余裕あり"</formula>
    </cfRule>
    <cfRule type="cellIs" priority="10" operator="equal" aboveAverage="0" equalAverage="0" bottom="0" percent="0" rank="0" text="" dxfId="0">
      <formula>"収まる"</formula>
    </cfRule>
    <cfRule type="cellIs" priority="11" operator="equal" aboveAverage="0" equalAverage="0" bottom="0" percent="0" rank="0" text="" dxfId="0">
      <formula>"OK"</formula>
    </cfRule>
  </conditionalFormatting>
  <conditionalFormatting sqref="J5:J17">
    <cfRule type="cellIs" priority="12" operator="equal" aboveAverage="0" equalAverage="0" bottom="0" percent="0" rank="0" text="" dxfId="1">
      <formula>"不足"</formula>
    </cfRule>
    <cfRule type="cellIs" priority="13" operator="equal" aboveAverage="0" equalAverage="0" bottom="0" percent="0" rank="0" text="" dxfId="1">
      <formula>"超過"</formula>
    </cfRule>
    <cfRule type="cellIs" priority="14" operator="equal" aboveAverage="0" equalAverage="0" bottom="0" percent="0" rank="0" text="" dxfId="1">
      <formula>"ずれ"</formula>
    </cfRule>
    <cfRule type="cellIs" priority="15" operator="equal" aboveAverage="0" equalAverage="0" bottom="0" percent="0" rank="0" text="" dxfId="1">
      <formula>"超える"</formula>
    </cfRule>
    <cfRule type="cellIs" priority="16" operator="equal" aboveAverage="0" equalAverage="0" bottom="0" percent="0" rank="0" text="" dxfId="2">
      <formula>"ギリギリ"</formula>
    </cfRule>
    <cfRule type="cellIs" priority="17" operator="equal" aboveAverage="0" equalAverage="0" bottom="0" percent="0" rank="0" text="" dxfId="2">
      <formula>"条件付き"</formula>
    </cfRule>
    <cfRule type="cellIs" priority="18" operator="equal" aboveAverage="0" equalAverage="0" bottom="0" percent="0" rank="0" text="" dxfId="2">
      <formula>"一部ずれ"</formula>
    </cfRule>
    <cfRule type="cellIs" priority="19" operator="equal" aboveAverage="0" equalAverage="0" bottom="0" percent="0" rank="0" text="" dxfId="0">
      <formula>"余裕あり"</formula>
    </cfRule>
    <cfRule type="cellIs" priority="20" operator="equal" aboveAverage="0" equalAverage="0" bottom="0" percent="0" rank="0" text="" dxfId="0">
      <formula>"収まる"</formula>
    </cfRule>
    <cfRule type="cellIs" priority="21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1"/>
  </cols>
  <sheetData>
    <row r="1" customFormat="false" ht="16.4" hidden="false" customHeight="false" outlineLevel="0" collapsed="false">
      <c r="A1" s="4" t="s">
        <v>606</v>
      </c>
      <c r="B1" s="5"/>
      <c r="C1" s="5"/>
      <c r="D1" s="5"/>
      <c r="E1" s="5"/>
      <c r="F1" s="5"/>
      <c r="G1" s="5"/>
      <c r="H1" s="5"/>
      <c r="I1" s="5"/>
      <c r="J1" s="5"/>
    </row>
    <row r="2" customFormat="false" ht="15" hidden="false" customHeight="false" outlineLevel="0" collapsed="false">
      <c r="A2" s="6" t="s">
        <v>607</v>
      </c>
      <c r="B2" s="5"/>
      <c r="C2" s="5"/>
      <c r="D2" s="5"/>
      <c r="E2" s="5"/>
      <c r="F2" s="5"/>
      <c r="G2" s="5"/>
      <c r="H2" s="5"/>
      <c r="I2" s="5"/>
      <c r="J2" s="5"/>
    </row>
    <row r="3" customFormat="false" ht="15" hidden="false" customHeight="false" outlineLevel="0" collapsed="false">
      <c r="A3" s="5"/>
      <c r="B3" s="5"/>
      <c r="C3" s="5"/>
      <c r="D3" s="5"/>
      <c r="E3" s="5"/>
      <c r="F3" s="1" t="s">
        <v>608</v>
      </c>
      <c r="G3" s="5"/>
      <c r="H3" s="5"/>
      <c r="I3" s="5"/>
      <c r="J3" s="5"/>
    </row>
    <row r="4" customFormat="false" ht="26.85" hidden="false" customHeight="false" outlineLevel="0" collapsed="false">
      <c r="A4" s="14" t="s">
        <v>94</v>
      </c>
      <c r="B4" s="7" t="s">
        <v>220</v>
      </c>
      <c r="C4" s="7" t="s">
        <v>367</v>
      </c>
      <c r="D4" s="7" t="s">
        <v>224</v>
      </c>
      <c r="E4" s="7" t="s">
        <v>609</v>
      </c>
      <c r="F4" s="48" t="n">
        <v>0.75</v>
      </c>
      <c r="G4" s="48" t="n">
        <v>1</v>
      </c>
      <c r="H4" s="48" t="n">
        <v>1.25</v>
      </c>
      <c r="I4" s="48" t="n">
        <v>1.5</v>
      </c>
      <c r="J4" s="48" t="n">
        <v>2</v>
      </c>
    </row>
    <row r="5" customFormat="false" ht="15" hidden="false" customHeight="false" outlineLevel="0" collapsed="false">
      <c r="A5" s="15" t="s">
        <v>330</v>
      </c>
      <c r="B5" s="23" t="str">
        <f aca="false">INDEX(シーン見積!$C$4:$C$25,MATCH("11",シーン見積!$A$4:$A$25,0))</f>
        <v>D3a</v>
      </c>
      <c r="C5" s="49" t="n">
        <f aca="false">INDEX(シーン見積!$AD$4:$AD$25,MATCH("11",シーン見積!$A$4:$A$25,0))</f>
        <v>94</v>
      </c>
      <c r="D5" s="23" t="n">
        <f aca="false">INDEX(シーン見積!$G$4:$G$25,MATCH("11",シーン見積!$A$4:$A$25,0))</f>
        <v>60</v>
      </c>
      <c r="E5" s="23" t="n">
        <f aca="false">INDEX(日別!$O$5:$O$11,MATCH(B5,日別!$A$5:$A$11,0))</f>
        <v>-121</v>
      </c>
      <c r="F5" s="23" t="n">
        <f aca="false">E5-(F$4-1)*C5</f>
        <v>-97.5</v>
      </c>
      <c r="G5" s="23" t="n">
        <f aca="false">E5-(G$4-1)*C5</f>
        <v>-121</v>
      </c>
      <c r="H5" s="23" t="n">
        <f aca="false">E5-(H$4-1)*C5</f>
        <v>-144.5</v>
      </c>
      <c r="I5" s="23" t="n">
        <f aca="false">E5-(I$4-1)*C5</f>
        <v>-168</v>
      </c>
      <c r="J5" s="23" t="n">
        <f aca="false">E5-(J$4-1)*C5</f>
        <v>-215</v>
      </c>
    </row>
    <row r="6" customFormat="false" ht="15" hidden="false" customHeight="false" outlineLevel="0" collapsed="false">
      <c r="A6" s="15" t="s">
        <v>102</v>
      </c>
      <c r="B6" s="23" t="str">
        <f aca="false">INDEX(シーン見積!$C$4:$C$25,MATCH("2",シーン見積!$A$4:$A$25,0))</f>
        <v>D4a</v>
      </c>
      <c r="C6" s="49" t="n">
        <f aca="false">INDEX(シーン見積!$AD$4:$AD$25,MATCH("2",シーン見積!$A$4:$A$25,0))</f>
        <v>173</v>
      </c>
      <c r="D6" s="23" t="n">
        <f aca="false">INDEX(シーン見積!$G$4:$G$25,MATCH("2",シーン見積!$A$4:$A$25,0))</f>
        <v>90</v>
      </c>
      <c r="E6" s="23" t="n">
        <f aca="false">INDEX(日別!$O$5:$O$11,MATCH(B6,日別!$A$5:$A$11,0))</f>
        <v>-109</v>
      </c>
      <c r="F6" s="23" t="n">
        <f aca="false">E6-(F$4-1)*C6</f>
        <v>-65.75</v>
      </c>
      <c r="G6" s="23" t="n">
        <f aca="false">E6-(G$4-1)*C6</f>
        <v>-109</v>
      </c>
      <c r="H6" s="23" t="n">
        <f aca="false">E6-(H$4-1)*C6</f>
        <v>-152.25</v>
      </c>
      <c r="I6" s="23" t="n">
        <f aca="false">E6-(I$4-1)*C6</f>
        <v>-195.5</v>
      </c>
      <c r="J6" s="23" t="n">
        <f aca="false">E6-(J$4-1)*C6</f>
        <v>-282</v>
      </c>
    </row>
    <row r="7" customFormat="false" ht="15" hidden="false" customHeight="false" outlineLevel="0" collapsed="false">
      <c r="A7" s="15" t="s">
        <v>103</v>
      </c>
      <c r="B7" s="23" t="str">
        <f aca="false">INDEX(シーン見積!$C$4:$C$25,MATCH("5",シーン見積!$A$4:$A$25,0))</f>
        <v>D2a</v>
      </c>
      <c r="C7" s="49" t="n">
        <f aca="false">INDEX(シーン見積!$AD$4:$AD$25,MATCH("5",シーン見積!$A$4:$A$25,0))</f>
        <v>125</v>
      </c>
      <c r="D7" s="23" t="n">
        <f aca="false">INDEX(シーン見積!$G$4:$G$25,MATCH("5",シーン見積!$A$4:$A$25,0))</f>
        <v>80</v>
      </c>
      <c r="E7" s="23" t="n">
        <f aca="false">INDEX(日別!$O$5:$O$11,MATCH(B7,日別!$A$5:$A$11,0))</f>
        <v>-47</v>
      </c>
      <c r="F7" s="23" t="n">
        <f aca="false">E7-(F$4-1)*C7</f>
        <v>-15.75</v>
      </c>
      <c r="G7" s="23" t="n">
        <f aca="false">E7-(G$4-1)*C7</f>
        <v>-47</v>
      </c>
      <c r="H7" s="23" t="n">
        <f aca="false">E7-(H$4-1)*C7</f>
        <v>-78.25</v>
      </c>
      <c r="I7" s="23" t="n">
        <f aca="false">E7-(I$4-1)*C7</f>
        <v>-109.5</v>
      </c>
      <c r="J7" s="23" t="n">
        <f aca="false">E7-(J$4-1)*C7</f>
        <v>-172</v>
      </c>
    </row>
    <row r="8" customFormat="false" ht="15" hidden="false" customHeight="false" outlineLevel="0" collapsed="false">
      <c r="A8" s="15" t="s">
        <v>105</v>
      </c>
      <c r="B8" s="23" t="str">
        <f aca="false">INDEX(シーン見積!$C$4:$C$25,MATCH("18",シーン見積!$A$4:$A$25,0))</f>
        <v>D2b</v>
      </c>
      <c r="C8" s="49" t="n">
        <f aca="false">INDEX(シーン見積!$AD$4:$AD$25,MATCH("18",シーン見積!$A$4:$A$25,0))</f>
        <v>69</v>
      </c>
      <c r="D8" s="23" t="n">
        <f aca="false">INDEX(シーン見積!$G$4:$G$25,MATCH("18",シーン見積!$A$4:$A$25,0))</f>
        <v>75</v>
      </c>
      <c r="E8" s="23" t="n">
        <f aca="false">INDEX(日別!$O$5:$O$11,MATCH(B8,日別!$A$5:$A$11,0))</f>
        <v>26</v>
      </c>
      <c r="F8" s="23" t="n">
        <f aca="false">E8-(F$4-1)*C8</f>
        <v>43.25</v>
      </c>
      <c r="G8" s="23" t="n">
        <f aca="false">E8-(G$4-1)*C8</f>
        <v>26</v>
      </c>
      <c r="H8" s="23" t="n">
        <f aca="false">E8-(H$4-1)*C8</f>
        <v>8.75</v>
      </c>
      <c r="I8" s="23" t="n">
        <f aca="false">E8-(I$4-1)*C8</f>
        <v>-8.5</v>
      </c>
      <c r="J8" s="23" t="n">
        <f aca="false">E8-(J$4-1)*C8</f>
        <v>-43</v>
      </c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1" t="s">
        <v>610</v>
      </c>
      <c r="G10" s="5"/>
      <c r="H10" s="5"/>
      <c r="I10" s="5"/>
      <c r="J10" s="5"/>
    </row>
    <row r="11" customFormat="false" ht="26.85" hidden="false" customHeight="false" outlineLevel="0" collapsed="false">
      <c r="A11" s="14" t="s">
        <v>94</v>
      </c>
      <c r="B11" s="7" t="s">
        <v>365</v>
      </c>
      <c r="C11" s="7" t="s">
        <v>611</v>
      </c>
      <c r="D11" s="7" t="s">
        <v>612</v>
      </c>
      <c r="E11" s="7" t="s">
        <v>613</v>
      </c>
      <c r="F11" s="50" t="n">
        <v>0.75</v>
      </c>
      <c r="G11" s="50" t="n">
        <v>1</v>
      </c>
      <c r="H11" s="50" t="n">
        <v>1.25</v>
      </c>
      <c r="I11" s="50" t="n">
        <v>1.5</v>
      </c>
      <c r="J11" s="50" t="n">
        <v>2</v>
      </c>
    </row>
    <row r="12" customFormat="false" ht="15" hidden="false" customHeight="false" outlineLevel="0" collapsed="false">
      <c r="A12" s="15" t="s">
        <v>330</v>
      </c>
      <c r="B12" s="12" t="s">
        <v>471</v>
      </c>
      <c r="C12" s="49" t="n">
        <f aca="false">INDEX(シーン見積!$AP$4:$AP$25,MATCH("11",シーン見積!$A$4:$A$25,0))</f>
        <v>94</v>
      </c>
      <c r="D12" s="42" t="n">
        <f aca="false">改訂スケジュール!B71</f>
        <v>0.734722222222222</v>
      </c>
      <c r="E12" s="42" t="n">
        <f aca="false">改訂スケジュール!C71</f>
        <v>0.724305555555556</v>
      </c>
      <c r="F12" s="42" t="n">
        <f aca="false">E12+(F$11-1)*C12/1440</f>
        <v>0.707986111111111</v>
      </c>
      <c r="G12" s="42" t="n">
        <f aca="false">E12+(G$11-1)*C12/1440</f>
        <v>0.724305555555556</v>
      </c>
      <c r="H12" s="42" t="n">
        <f aca="false">E12+(H$11-1)*C12/1440</f>
        <v>0.740625</v>
      </c>
      <c r="I12" s="42" t="n">
        <f aca="false">E12+(I$11-1)*C12/1440</f>
        <v>0.756944444444445</v>
      </c>
      <c r="J12" s="42" t="n">
        <f aca="false">E12+(J$11-1)*C12/1440</f>
        <v>0.789583333333333</v>
      </c>
    </row>
    <row r="13" customFormat="false" ht="15" hidden="false" customHeight="false" outlineLevel="0" collapsed="false">
      <c r="A13" s="15" t="s">
        <v>102</v>
      </c>
      <c r="B13" s="12" t="s">
        <v>473</v>
      </c>
      <c r="C13" s="23" t="n">
        <f aca="false">INDEX(シーン見積!$AP$4:$AP$25,MATCH("2",シーン見積!$A$4:$A$25,0))</f>
        <v>159</v>
      </c>
      <c r="D13" s="42" t="n">
        <f aca="false">改訂スケジュール!B72</f>
        <v>0.733333333333333</v>
      </c>
      <c r="E13" s="42" t="n">
        <f aca="false">改訂スケジュール!C72</f>
        <v>0.725</v>
      </c>
      <c r="F13" s="42" t="n">
        <f aca="false">E13+(F$11-1)*C13/1440</f>
        <v>0.697395833333333</v>
      </c>
      <c r="G13" s="42" t="n">
        <f aca="false">E13+(G$11-1)*C13/1440</f>
        <v>0.725</v>
      </c>
      <c r="H13" s="42" t="n">
        <f aca="false">E13+(H$11-1)*C13/1440</f>
        <v>0.752604166666667</v>
      </c>
      <c r="I13" s="42" t="n">
        <f aca="false">E13+(I$11-1)*C13/1440</f>
        <v>0.780208333333333</v>
      </c>
      <c r="J13" s="42" t="n">
        <f aca="false">E13+(J$11-1)*C13/1440</f>
        <v>0.835416666666667</v>
      </c>
    </row>
    <row r="14" customFormat="false" ht="15" hidden="false" customHeight="false" outlineLevel="0" collapsed="false">
      <c r="A14" s="15" t="s">
        <v>103</v>
      </c>
      <c r="B14" s="12" t="s">
        <v>470</v>
      </c>
      <c r="C14" s="23" t="n">
        <f aca="false">INDEX(シーン見積!$AP$4:$AP$25,MATCH("5",シーン見積!$A$4:$A$25,0))</f>
        <v>91</v>
      </c>
      <c r="D14" s="42" t="n">
        <f aca="false">改訂スケジュール!B70</f>
        <v>0.708333333333333</v>
      </c>
      <c r="E14" s="42" t="n">
        <f aca="false">改訂スケジュール!C70</f>
        <v>0.695833333333333</v>
      </c>
      <c r="F14" s="42" t="n">
        <f aca="false">E14+(F$11-1)*C14/1440</f>
        <v>0.680034722222222</v>
      </c>
      <c r="G14" s="42" t="n">
        <f aca="false">E14+(G$11-1)*C14/1440</f>
        <v>0.695833333333333</v>
      </c>
      <c r="H14" s="42" t="n">
        <f aca="false">E14+(H$11-1)*C14/1440</f>
        <v>0.711631944444444</v>
      </c>
      <c r="I14" s="42" t="n">
        <f aca="false">E14+(I$11-1)*C14/1440</f>
        <v>0.727430555555556</v>
      </c>
      <c r="J14" s="42" t="n">
        <f aca="false">E14+(J$11-1)*C14/1440</f>
        <v>0.759027777777778</v>
      </c>
    </row>
    <row r="15" customFormat="false" ht="15" hidden="false" customHeight="false" outlineLevel="0" collapsed="false">
      <c r="A15" s="15" t="s">
        <v>105</v>
      </c>
      <c r="B15" s="12" t="s">
        <v>470</v>
      </c>
      <c r="C15" s="23" t="n">
        <f aca="false">INDEX(シーン見積!$AP$4:$AP$25,MATCH("18",シーン見積!$A$4:$A$25,0))</f>
        <v>55</v>
      </c>
      <c r="D15" s="42" t="n">
        <f aca="false">改訂スケジュール!B70</f>
        <v>0.708333333333333</v>
      </c>
      <c r="E15" s="42" t="n">
        <f aca="false">改訂スケジュール!C70</f>
        <v>0.695833333333333</v>
      </c>
      <c r="F15" s="42" t="n">
        <f aca="false">E15+(F$11-1)*C15/1440</f>
        <v>0.686284722222222</v>
      </c>
      <c r="G15" s="42" t="n">
        <f aca="false">E15+(G$11-1)*C15/1440</f>
        <v>0.695833333333333</v>
      </c>
      <c r="H15" s="42" t="n">
        <f aca="false">E15+(H$11-1)*C15/1440</f>
        <v>0.705381944444445</v>
      </c>
      <c r="I15" s="42" t="n">
        <f aca="false">E15+(I$11-1)*C15/1440</f>
        <v>0.714930555555556</v>
      </c>
      <c r="J15" s="42" t="n">
        <f aca="false">E15+(J$11-1)*C15/1440</f>
        <v>0.734027777777778</v>
      </c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customFormat="false" ht="15" hidden="false" customHeight="false" outlineLevel="0" collapsed="false">
      <c r="A18" s="21" t="s">
        <v>614</v>
      </c>
      <c r="B18" s="5"/>
      <c r="C18" s="5"/>
      <c r="D18" s="5"/>
      <c r="E18" s="5"/>
      <c r="F18" s="5"/>
      <c r="G18" s="5"/>
      <c r="H18" s="5"/>
      <c r="I18" s="5"/>
      <c r="J18" s="5"/>
    </row>
    <row r="19" customFormat="false" ht="15" hidden="false" customHeight="false" outlineLevel="0" collapsed="false">
      <c r="A19" s="21" t="s">
        <v>615</v>
      </c>
      <c r="B19" s="5"/>
      <c r="C19" s="5"/>
      <c r="D19" s="5"/>
      <c r="E19" s="5"/>
      <c r="F19" s="5"/>
      <c r="G19" s="5"/>
      <c r="H19" s="5"/>
      <c r="I19" s="5"/>
      <c r="J19" s="5"/>
    </row>
    <row r="20" customFormat="false" ht="15" hidden="false" customHeight="false" outlineLevel="0" collapsed="false">
      <c r="A20" s="21" t="s">
        <v>616</v>
      </c>
      <c r="B20" s="5"/>
      <c r="C20" s="5"/>
      <c r="D20" s="5"/>
      <c r="E20" s="5"/>
      <c r="F20" s="5"/>
      <c r="G20" s="5"/>
      <c r="H20" s="5"/>
      <c r="I20" s="5"/>
      <c r="J20" s="5"/>
    </row>
    <row r="21" customFormat="false" ht="15" hidden="false" customHeight="false" outlineLevel="0" collapsed="false">
      <c r="A21" s="21" t="s">
        <v>617</v>
      </c>
      <c r="B21" s="5"/>
      <c r="C21" s="5"/>
      <c r="D21" s="5"/>
      <c r="E21" s="5"/>
      <c r="F21" s="5"/>
      <c r="G21" s="5"/>
      <c r="H21" s="5"/>
      <c r="I21" s="5"/>
      <c r="J21" s="5"/>
    </row>
    <row r="22" customFormat="false" ht="15" hidden="false" customHeight="false" outlineLevel="0" collapsed="false">
      <c r="A22" s="21" t="s">
        <v>618</v>
      </c>
      <c r="B22" s="5"/>
      <c r="C22" s="5"/>
      <c r="D22" s="5"/>
      <c r="E22" s="5"/>
      <c r="F22" s="5"/>
      <c r="G22" s="5"/>
      <c r="H22" s="5"/>
      <c r="I22" s="5"/>
      <c r="J22" s="5"/>
    </row>
  </sheetData>
  <conditionalFormatting sqref="F5:J8">
    <cfRule type="cellIs" priority="2" operator="lessThan" aboveAverage="0" equalAverage="0" bottom="0" percent="0" rank="0" text="" dxfId="1">
      <formula>0</formula>
    </cfRule>
  </conditionalFormatting>
  <conditionalFormatting sqref="F12:J15">
    <cfRule type="cellIs" priority="3" operator="greaterThan" aboveAverage="0" equalAverage="0" bottom="0" percent="0" rank="0" text="" dxfId="1">
      <formula>$D12+1/2880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10" min="9" style="0" width="9"/>
    <col collapsed="false" customWidth="true" hidden="false" outlineLevel="0" max="11" min="11" style="0" width="70"/>
  </cols>
  <sheetData>
    <row r="1" customFormat="false" ht="16.4" hidden="false" customHeight="false" outlineLevel="0" collapsed="false">
      <c r="A1" s="4" t="s">
        <v>619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620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</row>
    <row r="4" customFormat="false" ht="31.5" hidden="false" customHeight="true" outlineLevel="0" collapsed="false">
      <c r="A4" s="14" t="s">
        <v>94</v>
      </c>
      <c r="B4" s="7" t="s">
        <v>621</v>
      </c>
      <c r="C4" s="7" t="s">
        <v>622</v>
      </c>
      <c r="D4" s="7" t="s">
        <v>623</v>
      </c>
      <c r="E4" s="7" t="s">
        <v>624</v>
      </c>
      <c r="F4" s="7" t="s">
        <v>625</v>
      </c>
      <c r="G4" s="7" t="s">
        <v>626</v>
      </c>
      <c r="H4" s="7" t="s">
        <v>627</v>
      </c>
      <c r="I4" s="7" t="s">
        <v>628</v>
      </c>
      <c r="J4" s="7" t="s">
        <v>629</v>
      </c>
      <c r="K4" s="7" t="s">
        <v>630</v>
      </c>
    </row>
    <row r="5" customFormat="false" ht="42" hidden="false" customHeight="true" outlineLevel="0" collapsed="false">
      <c r="A5" s="15" t="s">
        <v>102</v>
      </c>
      <c r="B5" s="11" t="n">
        <v>90</v>
      </c>
      <c r="C5" s="51" t="s">
        <v>631</v>
      </c>
      <c r="D5" s="17" t="n">
        <f aca="false">INDEX(シーン見積!$Z$4:$Z$25,MATCH("2",シーン見積!$A$4:$A$25,0))</f>
        <v>100</v>
      </c>
      <c r="E5" s="17" t="n">
        <f aca="false">INDEX(シーン見積!$AD$4:$AD$25,MATCH("2",シーン見積!$A$4:$A$25,0))</f>
        <v>173</v>
      </c>
      <c r="F5" s="17" t="n">
        <f aca="false">INDEX(シーン見積!$AH$4:$AH$25,MATCH("2",シーン見積!$A$4:$A$25,0))</f>
        <v>253</v>
      </c>
      <c r="G5" s="52" t="str">
        <f aca="false">INDEX(シーン見積!$AJ$4:$AJ$25,MATCH("2",シーン見積!$A$4:$A$25,0))</f>
        <v>不足</v>
      </c>
      <c r="H5" s="18" t="n">
        <f aca="false">INDEX(シーン見積!$AP$4:$AP$25,MATCH("2",シーン見積!$A$4:$A$25,0))</f>
        <v>159</v>
      </c>
      <c r="I5" s="10" t="n">
        <f aca="false">CEILING(H5,5)</f>
        <v>160</v>
      </c>
      <c r="J5" s="12" t="n">
        <f aca="false">I5-B5</f>
        <v>70</v>
      </c>
      <c r="K5" s="51" t="s">
        <v>632</v>
      </c>
    </row>
    <row r="6" customFormat="false" ht="42" hidden="false" customHeight="true" outlineLevel="0" collapsed="false">
      <c r="A6" s="15" t="s">
        <v>262</v>
      </c>
      <c r="B6" s="11" t="n">
        <v>30</v>
      </c>
      <c r="C6" s="51" t="s">
        <v>631</v>
      </c>
      <c r="D6" s="17" t="n">
        <f aca="false">INDEX(シーン見積!$Z$4:$Z$25,MATCH("3",シーン見積!$A$4:$A$25,0))</f>
        <v>21</v>
      </c>
      <c r="E6" s="17" t="n">
        <f aca="false">INDEX(シーン見積!$AD$4:$AD$25,MATCH("3",シーン見積!$A$4:$A$25,0))</f>
        <v>37</v>
      </c>
      <c r="F6" s="17" t="n">
        <f aca="false">INDEX(シーン見積!$AH$4:$AH$25,MATCH("3",シーン見積!$A$4:$A$25,0))</f>
        <v>54</v>
      </c>
      <c r="G6" s="52" t="str">
        <f aca="false">INDEX(シーン見積!$AJ$4:$AJ$25,MATCH("3",シーン見積!$A$4:$A$25,0))</f>
        <v>ギリギリ</v>
      </c>
      <c r="H6" s="17" t="n">
        <f aca="false">INDEX(シーン見積!$AP$4:$AP$25,MATCH("3",シーン見積!$A$4:$A$25,0))</f>
        <v>37</v>
      </c>
      <c r="I6" s="10" t="n">
        <f aca="false">CEILING(H6,5)</f>
        <v>40</v>
      </c>
      <c r="J6" s="12" t="n">
        <f aca="false">I6-B6</f>
        <v>10</v>
      </c>
      <c r="K6" s="53" t="s">
        <v>633</v>
      </c>
    </row>
    <row r="7" customFormat="false" ht="42" hidden="false" customHeight="true" outlineLevel="0" collapsed="false">
      <c r="A7" s="15" t="s">
        <v>103</v>
      </c>
      <c r="B7" s="11" t="n">
        <v>80</v>
      </c>
      <c r="C7" s="51" t="s">
        <v>631</v>
      </c>
      <c r="D7" s="17" t="n">
        <f aca="false">INDEX(シーン見積!$Z$4:$Z$25,MATCH("5",シーン見積!$A$4:$A$25,0))</f>
        <v>74</v>
      </c>
      <c r="E7" s="17" t="n">
        <f aca="false">INDEX(シーン見積!$AD$4:$AD$25,MATCH("5",シーン見積!$A$4:$A$25,0))</f>
        <v>125</v>
      </c>
      <c r="F7" s="17" t="n">
        <f aca="false">INDEX(シーン見積!$AH$4:$AH$25,MATCH("5",シーン見積!$A$4:$A$25,0))</f>
        <v>181</v>
      </c>
      <c r="G7" s="52" t="str">
        <f aca="false">INDEX(シーン見積!$AJ$4:$AJ$25,MATCH("5",シーン見積!$A$4:$A$25,0))</f>
        <v>ギリギリ</v>
      </c>
      <c r="H7" s="18" t="n">
        <f aca="false">INDEX(シーン見積!$AP$4:$AP$25,MATCH("5",シーン見積!$A$4:$A$25,0))</f>
        <v>91</v>
      </c>
      <c r="I7" s="10" t="n">
        <f aca="false">CEILING(H7,5)</f>
        <v>95</v>
      </c>
      <c r="J7" s="12" t="n">
        <f aca="false">I7-B7</f>
        <v>15</v>
      </c>
      <c r="K7" s="51" t="s">
        <v>634</v>
      </c>
    </row>
    <row r="8" customFormat="false" ht="42" hidden="false" customHeight="true" outlineLevel="0" collapsed="false">
      <c r="A8" s="15" t="s">
        <v>294</v>
      </c>
      <c r="B8" s="11" t="n">
        <v>25</v>
      </c>
      <c r="C8" s="51" t="s">
        <v>631</v>
      </c>
      <c r="D8" s="17" t="n">
        <f aca="false">INDEX(シーン見積!$Z$4:$Z$25,MATCH("8",シーン見積!$A$4:$A$25,0))</f>
        <v>13</v>
      </c>
      <c r="E8" s="17" t="n">
        <f aca="false">INDEX(シーン見積!$AD$4:$AD$25,MATCH("8",シーン見積!$A$4:$A$25,0))</f>
        <v>22</v>
      </c>
      <c r="F8" s="17" t="n">
        <f aca="false">INDEX(シーン見積!$AH$4:$AH$25,MATCH("8",シーン見積!$A$4:$A$25,0))</f>
        <v>33</v>
      </c>
      <c r="G8" s="52" t="str">
        <f aca="false">INDEX(シーン見積!$AJ$4:$AJ$25,MATCH("8",シーン見積!$A$4:$A$25,0))</f>
        <v>適正</v>
      </c>
      <c r="H8" s="17" t="n">
        <f aca="false">INDEX(シーン見積!$AP$4:$AP$25,MATCH("8",シーン見積!$A$4:$A$25,0))</f>
        <v>22</v>
      </c>
      <c r="I8" s="10" t="n">
        <f aca="false">CEILING(H8,5)</f>
        <v>25</v>
      </c>
      <c r="J8" s="12" t="n">
        <f aca="false">I8-B8</f>
        <v>0</v>
      </c>
      <c r="K8" s="53" t="s">
        <v>635</v>
      </c>
    </row>
    <row r="9" customFormat="false" ht="42" hidden="false" customHeight="true" outlineLevel="0" collapsed="false">
      <c r="A9" s="15" t="s">
        <v>299</v>
      </c>
      <c r="B9" s="11" t="n">
        <v>20</v>
      </c>
      <c r="C9" s="51" t="s">
        <v>631</v>
      </c>
      <c r="D9" s="17" t="n">
        <f aca="false">INDEX(シーン見積!$Z$4:$Z$25,MATCH("9",シーン見積!$A$4:$A$25,0))</f>
        <v>22</v>
      </c>
      <c r="E9" s="17" t="n">
        <f aca="false">INDEX(シーン見積!$AD$4:$AD$25,MATCH("9",シーン見積!$A$4:$A$25,0))</f>
        <v>42</v>
      </c>
      <c r="F9" s="17" t="n">
        <f aca="false">INDEX(シーン見積!$AH$4:$AH$25,MATCH("9",シーン見積!$A$4:$A$25,0))</f>
        <v>68</v>
      </c>
      <c r="G9" s="52" t="str">
        <f aca="false">INDEX(シーン見積!$AJ$4:$AJ$25,MATCH("9",シーン見積!$A$4:$A$25,0))</f>
        <v>不足</v>
      </c>
      <c r="H9" s="17" t="n">
        <f aca="false">INDEX(シーン見積!$AP$4:$AP$25,MATCH("9",シーン見積!$A$4:$A$25,0))</f>
        <v>42</v>
      </c>
      <c r="I9" s="10" t="n">
        <f aca="false">CEILING(H9,5)</f>
        <v>45</v>
      </c>
      <c r="J9" s="12" t="n">
        <f aca="false">I9-B9</f>
        <v>25</v>
      </c>
      <c r="K9" s="51" t="s">
        <v>636</v>
      </c>
    </row>
    <row r="10" customFormat="false" ht="42" hidden="false" customHeight="true" outlineLevel="0" collapsed="false">
      <c r="A10" s="15" t="s">
        <v>330</v>
      </c>
      <c r="B10" s="11" t="n">
        <v>60</v>
      </c>
      <c r="C10" s="51" t="s">
        <v>637</v>
      </c>
      <c r="D10" s="17" t="n">
        <f aca="false">INDEX(シーン見積!$Z$4:$Z$25,MATCH("11",シーン見積!$A$4:$A$25,0))</f>
        <v>55</v>
      </c>
      <c r="E10" s="17" t="n">
        <f aca="false">INDEX(シーン見積!$AD$4:$AD$25,MATCH("11",シーン見積!$A$4:$A$25,0))</f>
        <v>94</v>
      </c>
      <c r="F10" s="17" t="n">
        <f aca="false">INDEX(シーン見積!$AH$4:$AH$25,MATCH("11",シーン見積!$A$4:$A$25,0))</f>
        <v>136</v>
      </c>
      <c r="G10" s="52" t="str">
        <f aca="false">INDEX(シーン見積!$AJ$4:$AJ$25,MATCH("11",シーン見積!$A$4:$A$25,0))</f>
        <v>ギリギリ</v>
      </c>
      <c r="H10" s="17" t="n">
        <f aca="false">INDEX(シーン見積!$AP$4:$AP$25,MATCH("11",シーン見積!$A$4:$A$25,0))</f>
        <v>94</v>
      </c>
      <c r="I10" s="10" t="n">
        <f aca="false">CEILING(H10,5)</f>
        <v>95</v>
      </c>
      <c r="J10" s="12" t="n">
        <f aca="false">I10-B10</f>
        <v>35</v>
      </c>
      <c r="K10" s="53" t="s">
        <v>638</v>
      </c>
    </row>
    <row r="11" customFormat="false" ht="42" hidden="false" customHeight="true" outlineLevel="0" collapsed="false">
      <c r="A11" s="15" t="s">
        <v>104</v>
      </c>
      <c r="B11" s="11" t="n">
        <v>120</v>
      </c>
      <c r="C11" s="51" t="s">
        <v>631</v>
      </c>
      <c r="D11" s="17" t="n">
        <f aca="false">INDEX(シーン見積!$Z$4:$Z$25,MATCH("15",シーン見積!$A$4:$A$25,0))</f>
        <v>134</v>
      </c>
      <c r="E11" s="17" t="n">
        <f aca="false">INDEX(シーン見積!$AD$4:$AD$25,MATCH("15",シーン見積!$A$4:$A$25,0))</f>
        <v>235</v>
      </c>
      <c r="F11" s="17" t="n">
        <f aca="false">INDEX(シーン見積!$AH$4:$AH$25,MATCH("15",シーン見積!$A$4:$A$25,0))</f>
        <v>343</v>
      </c>
      <c r="G11" s="52" t="str">
        <f aca="false">INDEX(シーン見積!$AJ$4:$AJ$25,MATCH("15",シーン見積!$A$4:$A$25,0))</f>
        <v>不足</v>
      </c>
      <c r="H11" s="18" t="n">
        <f aca="false">INDEX(シーン見積!$AP$4:$AP$25,MATCH("15",シーン見積!$A$4:$A$25,0))</f>
        <v>158</v>
      </c>
      <c r="I11" s="10" t="n">
        <f aca="false">CEILING(H11,5)</f>
        <v>160</v>
      </c>
      <c r="J11" s="12" t="n">
        <f aca="false">I11-B11</f>
        <v>40</v>
      </c>
      <c r="K11" s="51" t="s">
        <v>639</v>
      </c>
    </row>
    <row r="12" customFormat="false" ht="42" hidden="false" customHeight="true" outlineLevel="0" collapsed="false">
      <c r="A12" s="15" t="s">
        <v>275</v>
      </c>
      <c r="B12" s="11" t="n">
        <v>40</v>
      </c>
      <c r="C12" s="51" t="s">
        <v>640</v>
      </c>
      <c r="D12" s="17" t="n">
        <f aca="false">INDEX(シーン見積!$Z$4:$Z$25,MATCH("16A",シーン見積!$A$4:$A$25,0))</f>
        <v>11</v>
      </c>
      <c r="E12" s="17" t="n">
        <f aca="false">INDEX(シーン見積!$AD$4:$AD$25,MATCH("16A",シーン見積!$A$4:$A$25,0))</f>
        <v>18</v>
      </c>
      <c r="F12" s="17" t="n">
        <f aca="false">INDEX(シーン見積!$AH$4:$AH$25,MATCH("16A",シーン見積!$A$4:$A$25,0))</f>
        <v>27</v>
      </c>
      <c r="G12" s="52" t="str">
        <f aca="false">INDEX(シーン見積!$AJ$4:$AJ$25,MATCH("16A",シーン見積!$A$4:$A$25,0))</f>
        <v>余裕あり</v>
      </c>
      <c r="H12" s="17" t="n">
        <f aca="false">INDEX(シーン見積!$AP$4:$AP$25,MATCH("16A",シーン見積!$A$4:$A$25,0))</f>
        <v>18</v>
      </c>
      <c r="I12" s="10" t="n">
        <f aca="false">CEILING(H12,5)</f>
        <v>20</v>
      </c>
      <c r="J12" s="12" t="n">
        <f aca="false">I12-B12</f>
        <v>-20</v>
      </c>
      <c r="K12" s="51" t="s">
        <v>641</v>
      </c>
    </row>
    <row r="13" customFormat="false" ht="42" hidden="false" customHeight="true" outlineLevel="0" collapsed="false">
      <c r="A13" s="15" t="s">
        <v>326</v>
      </c>
      <c r="B13" s="11" t="n">
        <v>60</v>
      </c>
      <c r="C13" s="51" t="s">
        <v>642</v>
      </c>
      <c r="D13" s="17" t="n">
        <f aca="false">INDEX(シーン見積!$Z$4:$Z$25,MATCH("16",シーン見積!$A$4:$A$25,0))</f>
        <v>43</v>
      </c>
      <c r="E13" s="17" t="n">
        <f aca="false">INDEX(シーン見積!$AD$4:$AD$25,MATCH("16",シーン見積!$A$4:$A$25,0))</f>
        <v>73</v>
      </c>
      <c r="F13" s="17" t="n">
        <f aca="false">INDEX(シーン見積!$AH$4:$AH$25,MATCH("16",シーン見積!$A$4:$A$25,0))</f>
        <v>106</v>
      </c>
      <c r="G13" s="52" t="str">
        <f aca="false">INDEX(シーン見積!$AJ$4:$AJ$25,MATCH("16",シーン見積!$A$4:$A$25,0))</f>
        <v>ギリギリ</v>
      </c>
      <c r="H13" s="17" t="n">
        <f aca="false">INDEX(シーン見積!$AP$4:$AP$25,MATCH("16",シーン見積!$A$4:$A$25,0))</f>
        <v>73</v>
      </c>
      <c r="I13" s="10" t="n">
        <f aca="false">CEILING(H13,5)</f>
        <v>75</v>
      </c>
      <c r="J13" s="12" t="n">
        <f aca="false">I13-B13</f>
        <v>15</v>
      </c>
      <c r="K13" s="51" t="s">
        <v>643</v>
      </c>
    </row>
    <row r="14" customFormat="false" ht="42" hidden="false" customHeight="true" outlineLevel="0" collapsed="false">
      <c r="A14" s="15" t="s">
        <v>105</v>
      </c>
      <c r="B14" s="11" t="n">
        <v>75</v>
      </c>
      <c r="C14" s="51" t="s">
        <v>631</v>
      </c>
      <c r="D14" s="17" t="n">
        <f aca="false">INDEX(シーン見積!$Z$4:$Z$25,MATCH("18",シーン見積!$A$4:$A$25,0))</f>
        <v>41</v>
      </c>
      <c r="E14" s="17" t="n">
        <f aca="false">INDEX(シーン見積!$AD$4:$AD$25,MATCH("18",シーン見積!$A$4:$A$25,0))</f>
        <v>69</v>
      </c>
      <c r="F14" s="17" t="n">
        <f aca="false">INDEX(シーン見積!$AH$4:$AH$25,MATCH("18",シーン見積!$A$4:$A$25,0))</f>
        <v>101</v>
      </c>
      <c r="G14" s="52" t="str">
        <f aca="false">INDEX(シーン見積!$AJ$4:$AJ$25,MATCH("18",シーン見積!$A$4:$A$25,0))</f>
        <v>適正</v>
      </c>
      <c r="H14" s="18" t="n">
        <f aca="false">INDEX(シーン見積!$AP$4:$AP$25,MATCH("18",シーン見積!$A$4:$A$25,0))</f>
        <v>55</v>
      </c>
      <c r="I14" s="10" t="n">
        <f aca="false">CEILING(H14,5)</f>
        <v>55</v>
      </c>
      <c r="J14" s="12" t="n">
        <f aca="false">I14-B14</f>
        <v>-20</v>
      </c>
      <c r="K14" s="51" t="s">
        <v>644</v>
      </c>
    </row>
    <row r="15" customFormat="false" ht="42" hidden="false" customHeight="true" outlineLevel="0" collapsed="false">
      <c r="A15" s="15" t="s">
        <v>346</v>
      </c>
      <c r="B15" s="11" t="n">
        <v>30</v>
      </c>
      <c r="C15" s="51" t="s">
        <v>631</v>
      </c>
      <c r="D15" s="17" t="n">
        <f aca="false">INDEX(シーン見積!$Z$4:$Z$25,MATCH("20",シーン見積!$A$4:$A$25,0))</f>
        <v>22</v>
      </c>
      <c r="E15" s="17" t="n">
        <f aca="false">INDEX(シーン見積!$AD$4:$AD$25,MATCH("20",シーン見積!$A$4:$A$25,0))</f>
        <v>38</v>
      </c>
      <c r="F15" s="17" t="n">
        <f aca="false">INDEX(シーン見積!$AH$4:$AH$25,MATCH("20",シーン見積!$A$4:$A$25,0))</f>
        <v>56</v>
      </c>
      <c r="G15" s="52" t="str">
        <f aca="false">INDEX(シーン見積!$AJ$4:$AJ$25,MATCH("20",シーン見積!$A$4:$A$25,0))</f>
        <v>ギリギリ</v>
      </c>
      <c r="H15" s="17" t="n">
        <f aca="false">INDEX(シーン見積!$AP$4:$AP$25,MATCH("20",シーン見積!$A$4:$A$25,0))</f>
        <v>38</v>
      </c>
      <c r="I15" s="10" t="n">
        <f aca="false">CEILING(H15,5)</f>
        <v>40</v>
      </c>
      <c r="J15" s="12" t="n">
        <f aca="false">I15-B15</f>
        <v>10</v>
      </c>
      <c r="K15" s="51" t="s">
        <v>645</v>
      </c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false" outlineLevel="0" collapsed="false">
      <c r="A17" s="5" t="s">
        <v>646</v>
      </c>
      <c r="B17" s="5"/>
      <c r="C17" s="5"/>
      <c r="D17" s="5"/>
      <c r="E17" s="5"/>
      <c r="F17" s="5"/>
      <c r="G17" s="5"/>
      <c r="H17" s="5"/>
      <c r="I17" s="5"/>
      <c r="J17" s="5"/>
      <c r="K17" s="5"/>
    </row>
  </sheetData>
  <conditionalFormatting sqref="G5:G15">
    <cfRule type="cellIs" priority="2" operator="equal" aboveAverage="0" equalAverage="0" bottom="0" percent="0" rank="0" text="" dxfId="1">
      <formula>"不足"</formula>
    </cfRule>
    <cfRule type="cellIs" priority="3" operator="equal" aboveAverage="0" equalAverage="0" bottom="0" percent="0" rank="0" text="" dxfId="1">
      <formula>"超過"</formula>
    </cfRule>
    <cfRule type="cellIs" priority="4" operator="equal" aboveAverage="0" equalAverage="0" bottom="0" percent="0" rank="0" text="" dxfId="1">
      <formula>"ずれ"</formula>
    </cfRule>
    <cfRule type="cellIs" priority="5" operator="equal" aboveAverage="0" equalAverage="0" bottom="0" percent="0" rank="0" text="" dxfId="1">
      <formula>"超える"</formula>
    </cfRule>
    <cfRule type="cellIs" priority="6" operator="equal" aboveAverage="0" equalAverage="0" bottom="0" percent="0" rank="0" text="" dxfId="2">
      <formula>"ギリギリ"</formula>
    </cfRule>
    <cfRule type="cellIs" priority="7" operator="equal" aboveAverage="0" equalAverage="0" bottom="0" percent="0" rank="0" text="" dxfId="2">
      <formula>"条件付き"</formula>
    </cfRule>
    <cfRule type="cellIs" priority="8" operator="equal" aboveAverage="0" equalAverage="0" bottom="0" percent="0" rank="0" text="" dxfId="2">
      <formula>"一部ずれ"</formula>
    </cfRule>
    <cfRule type="cellIs" priority="9" operator="equal" aboveAverage="0" equalAverage="0" bottom="0" percent="0" rank="0" text="" dxfId="0">
      <formula>"余裕あり"</formula>
    </cfRule>
    <cfRule type="cellIs" priority="10" operator="equal" aboveAverage="0" equalAverage="0" bottom="0" percent="0" rank="0" text="" dxfId="0">
      <formula>"収まる"</formula>
    </cfRule>
    <cfRule type="cellIs" priority="11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56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4" t="s">
        <v>647</v>
      </c>
      <c r="B1" s="5"/>
      <c r="C1" s="5"/>
      <c r="D1" s="5"/>
      <c r="E1" s="5"/>
    </row>
    <row r="2" customFormat="false" ht="15" hidden="false" customHeight="false" outlineLevel="0" collapsed="false">
      <c r="A2" s="5"/>
      <c r="B2" s="5"/>
      <c r="C2" s="5"/>
      <c r="D2" s="5"/>
      <c r="E2" s="5"/>
    </row>
    <row r="3" customFormat="false" ht="15" hidden="false" customHeight="false" outlineLevel="0" collapsed="false">
      <c r="A3" s="14" t="s">
        <v>648</v>
      </c>
      <c r="B3" s="7" t="s">
        <v>649</v>
      </c>
      <c r="C3" s="7" t="s">
        <v>650</v>
      </c>
      <c r="D3" s="7" t="s">
        <v>651</v>
      </c>
      <c r="E3" s="7" t="s">
        <v>652</v>
      </c>
    </row>
    <row r="4" customFormat="false" ht="26.85" hidden="false" customHeight="false" outlineLevel="0" collapsed="false">
      <c r="A4" s="12" t="n">
        <v>1</v>
      </c>
      <c r="B4" s="51" t="s">
        <v>653</v>
      </c>
      <c r="C4" s="51" t="s">
        <v>654</v>
      </c>
      <c r="D4" s="8" t="s">
        <v>655</v>
      </c>
      <c r="E4" s="8" t="s">
        <v>656</v>
      </c>
    </row>
    <row r="5" customFormat="false" ht="26.85" hidden="false" customHeight="false" outlineLevel="0" collapsed="false">
      <c r="A5" s="12" t="n">
        <v>2</v>
      </c>
      <c r="B5" s="51" t="s">
        <v>657</v>
      </c>
      <c r="C5" s="53" t="s">
        <v>658</v>
      </c>
      <c r="D5" s="8" t="s">
        <v>659</v>
      </c>
      <c r="E5" s="12" t="s">
        <v>660</v>
      </c>
    </row>
    <row r="6" customFormat="false" ht="15" hidden="false" customHeight="false" outlineLevel="0" collapsed="false">
      <c r="A6" s="12" t="n">
        <v>3</v>
      </c>
      <c r="B6" s="53" t="s">
        <v>661</v>
      </c>
      <c r="C6" s="53" t="s">
        <v>662</v>
      </c>
      <c r="D6" s="8" t="s">
        <v>663</v>
      </c>
      <c r="E6" s="12" t="s">
        <v>664</v>
      </c>
    </row>
    <row r="7" customFormat="false" ht="15" hidden="false" customHeight="false" outlineLevel="0" collapsed="false">
      <c r="A7" s="12" t="n">
        <v>4</v>
      </c>
      <c r="B7" s="51" t="s">
        <v>665</v>
      </c>
      <c r="C7" s="51" t="s">
        <v>666</v>
      </c>
      <c r="D7" s="8" t="s">
        <v>667</v>
      </c>
      <c r="E7" s="12" t="s">
        <v>660</v>
      </c>
    </row>
    <row r="8" customFormat="false" ht="15" hidden="false" customHeight="false" outlineLevel="0" collapsed="false">
      <c r="A8" s="12" t="n">
        <v>5</v>
      </c>
      <c r="B8" s="51" t="s">
        <v>668</v>
      </c>
      <c r="C8" s="51" t="s">
        <v>669</v>
      </c>
      <c r="D8" s="8" t="s">
        <v>667</v>
      </c>
      <c r="E8" s="12" t="s">
        <v>660</v>
      </c>
    </row>
    <row r="9" customFormat="false" ht="15" hidden="false" customHeight="false" outlineLevel="0" collapsed="false">
      <c r="A9" s="12" t="n">
        <v>6</v>
      </c>
      <c r="B9" s="53" t="s">
        <v>670</v>
      </c>
      <c r="C9" s="53" t="s">
        <v>671</v>
      </c>
      <c r="D9" s="8" t="s">
        <v>667</v>
      </c>
      <c r="E9" s="12" t="s">
        <v>660</v>
      </c>
    </row>
    <row r="10" customFormat="false" ht="15" hidden="false" customHeight="false" outlineLevel="0" collapsed="false">
      <c r="A10" s="12" t="n">
        <v>7</v>
      </c>
      <c r="B10" s="53" t="s">
        <v>672</v>
      </c>
      <c r="C10" s="51" t="s">
        <v>673</v>
      </c>
      <c r="D10" s="8" t="s">
        <v>667</v>
      </c>
      <c r="E10" s="12" t="s">
        <v>660</v>
      </c>
    </row>
    <row r="11" customFormat="false" ht="15" hidden="false" customHeight="false" outlineLevel="0" collapsed="false">
      <c r="A11" s="12" t="n">
        <v>8</v>
      </c>
      <c r="B11" s="53" t="s">
        <v>674</v>
      </c>
      <c r="C11" s="51" t="s">
        <v>675</v>
      </c>
      <c r="D11" s="8" t="s">
        <v>676</v>
      </c>
      <c r="E11" s="12" t="s">
        <v>664</v>
      </c>
    </row>
    <row r="12" customFormat="false" ht="26.85" hidden="false" customHeight="false" outlineLevel="0" collapsed="false">
      <c r="A12" s="12" t="n">
        <v>9</v>
      </c>
      <c r="B12" s="53" t="s">
        <v>677</v>
      </c>
      <c r="C12" s="53" t="s">
        <v>678</v>
      </c>
      <c r="D12" s="8" t="s">
        <v>655</v>
      </c>
      <c r="E12" s="12" t="s">
        <v>660</v>
      </c>
    </row>
    <row r="13" customFormat="false" ht="26.85" hidden="false" customHeight="false" outlineLevel="0" collapsed="false">
      <c r="A13" s="12" t="n">
        <v>10</v>
      </c>
      <c r="B13" s="53" t="s">
        <v>679</v>
      </c>
      <c r="C13" s="53" t="s">
        <v>680</v>
      </c>
      <c r="D13" s="8" t="s">
        <v>655</v>
      </c>
      <c r="E13" s="12" t="s">
        <v>660</v>
      </c>
    </row>
    <row r="14" customFormat="false" ht="26.85" hidden="false" customHeight="false" outlineLevel="0" collapsed="false">
      <c r="A14" s="12" t="n">
        <v>11</v>
      </c>
      <c r="B14" s="53" t="s">
        <v>681</v>
      </c>
      <c r="C14" s="51" t="s">
        <v>682</v>
      </c>
      <c r="D14" s="8" t="s">
        <v>667</v>
      </c>
      <c r="E14" s="12" t="s">
        <v>660</v>
      </c>
    </row>
    <row r="15" customFormat="false" ht="15" hidden="false" customHeight="false" outlineLevel="0" collapsed="false">
      <c r="A15" s="12" t="n">
        <v>12</v>
      </c>
      <c r="B15" s="51" t="s">
        <v>683</v>
      </c>
      <c r="C15" s="51" t="s">
        <v>684</v>
      </c>
      <c r="D15" s="8" t="s">
        <v>685</v>
      </c>
      <c r="E15" s="12" t="s">
        <v>686</v>
      </c>
    </row>
    <row r="16" customFormat="false" ht="15" hidden="false" customHeight="false" outlineLevel="0" collapsed="false">
      <c r="A16" s="12" t="n">
        <v>13</v>
      </c>
      <c r="B16" s="53" t="s">
        <v>687</v>
      </c>
      <c r="C16" s="51" t="s">
        <v>688</v>
      </c>
      <c r="D16" s="8" t="s">
        <v>685</v>
      </c>
      <c r="E16" s="12" t="s">
        <v>664</v>
      </c>
    </row>
    <row r="17" customFormat="false" ht="26.85" hidden="false" customHeight="false" outlineLevel="0" collapsed="false">
      <c r="A17" s="12" t="n">
        <v>14</v>
      </c>
      <c r="B17" s="53" t="s">
        <v>689</v>
      </c>
      <c r="C17" s="51" t="s">
        <v>690</v>
      </c>
      <c r="D17" s="8" t="s">
        <v>685</v>
      </c>
      <c r="E17" s="12" t="s">
        <v>664</v>
      </c>
    </row>
    <row r="18" customFormat="false" ht="15" hidden="false" customHeight="false" outlineLevel="0" collapsed="false">
      <c r="A18" s="12" t="n">
        <v>15</v>
      </c>
      <c r="B18" s="53" t="s">
        <v>691</v>
      </c>
      <c r="C18" s="51" t="s">
        <v>692</v>
      </c>
      <c r="D18" s="8" t="s">
        <v>693</v>
      </c>
      <c r="E18" s="12" t="s">
        <v>694</v>
      </c>
    </row>
    <row r="19" customFormat="false" ht="15" hidden="false" customHeight="false" outlineLevel="0" collapsed="false">
      <c r="A19" s="12" t="n">
        <v>16</v>
      </c>
      <c r="B19" s="51" t="s">
        <v>695</v>
      </c>
      <c r="C19" s="51" t="s">
        <v>696</v>
      </c>
      <c r="D19" s="8" t="s">
        <v>655</v>
      </c>
      <c r="E19" s="12" t="s">
        <v>660</v>
      </c>
    </row>
    <row r="20" customFormat="false" ht="15" hidden="false" customHeight="false" outlineLevel="0" collapsed="false">
      <c r="A20" s="12" t="n">
        <v>17</v>
      </c>
      <c r="B20" s="51" t="s">
        <v>697</v>
      </c>
      <c r="C20" s="53" t="s">
        <v>698</v>
      </c>
      <c r="D20" s="8" t="s">
        <v>699</v>
      </c>
      <c r="E20" s="12" t="s">
        <v>660</v>
      </c>
    </row>
    <row r="21" customFormat="false" ht="15" hidden="false" customHeight="false" outlineLevel="0" collapsed="false">
      <c r="A21" s="12" t="n">
        <v>18</v>
      </c>
      <c r="B21" s="53" t="s">
        <v>700</v>
      </c>
      <c r="C21" s="51" t="s">
        <v>701</v>
      </c>
      <c r="D21" s="8" t="s">
        <v>667</v>
      </c>
      <c r="E21" s="12" t="s">
        <v>660</v>
      </c>
    </row>
    <row r="22" customFormat="false" ht="15" hidden="false" customHeight="false" outlineLevel="0" collapsed="false">
      <c r="A22" s="12" t="n">
        <v>19</v>
      </c>
      <c r="B22" s="51" t="s">
        <v>702</v>
      </c>
      <c r="C22" s="51" t="s">
        <v>703</v>
      </c>
      <c r="D22" s="8" t="s">
        <v>704</v>
      </c>
      <c r="E22" s="12" t="s">
        <v>694</v>
      </c>
    </row>
    <row r="23" customFormat="false" ht="15" hidden="false" customHeight="false" outlineLevel="0" collapsed="false">
      <c r="A23" s="12" t="n">
        <v>20</v>
      </c>
      <c r="B23" s="51" t="s">
        <v>530</v>
      </c>
      <c r="C23" s="53" t="s">
        <v>705</v>
      </c>
      <c r="D23" s="8" t="s">
        <v>704</v>
      </c>
      <c r="E23" s="12" t="s">
        <v>694</v>
      </c>
    </row>
    <row r="24" customFormat="false" ht="26.85" hidden="false" customHeight="false" outlineLevel="0" collapsed="false">
      <c r="A24" s="12" t="n">
        <v>21</v>
      </c>
      <c r="B24" s="51" t="s">
        <v>706</v>
      </c>
      <c r="C24" s="53" t="s">
        <v>707</v>
      </c>
      <c r="D24" s="8" t="s">
        <v>655</v>
      </c>
      <c r="E24" s="8" t="s">
        <v>656</v>
      </c>
    </row>
    <row r="25" customFormat="false" ht="15" hidden="false" customHeight="false" outlineLevel="0" collapsed="false">
      <c r="A25" s="12" t="n">
        <v>22</v>
      </c>
      <c r="B25" s="53" t="s">
        <v>708</v>
      </c>
      <c r="C25" s="51" t="s">
        <v>709</v>
      </c>
      <c r="D25" s="8" t="s">
        <v>659</v>
      </c>
      <c r="E25" s="12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2026-10-18T03:56:23Z</dcterms:created>
  <dc:creator>openpyxl</dc:creator>
  <dc:description/>
  <dc:language>en-US</dc:language>
  <cp:lastModifiedBy/>
  <dcterms:modified xsi:type="dcterms:W3CDTF">2026-10-18T03:56:23Z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